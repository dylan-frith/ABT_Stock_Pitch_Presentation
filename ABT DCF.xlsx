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ata" sheetId="1" r:id="rId4"/>
    <sheet state="visible" name="Sort Prep " sheetId="2" r:id="rId5"/>
    <sheet state="visible" name="direct + indirect valuation " sheetId="3" r:id="rId6"/>
    <sheet state="visible" name="Historical Percentages ABT" sheetId="4" r:id="rId7"/>
    <sheet state="visible" name="DCF Valuation (2)" sheetId="5" r:id="rId8"/>
    <sheet state="visible" name="Final Recommendation" sheetId="6" r:id="rId9"/>
  </sheets>
  <definedNames/>
  <calcPr/>
  <extLst>
    <ext uri="GoogleSheetsCustomDataVersion2">
      <go:sheetsCustomData xmlns:go="http://customooxmlschemas.google.com/" r:id="rId10" roundtripDataChecksum="LPbYYCoKo3gZnYWuGV/b5lYPglv5WlPIIPgrGH61Ong="/>
    </ext>
  </extLst>
</workbook>
</file>

<file path=xl/sharedStrings.xml><?xml version="1.0" encoding="utf-8"?>
<sst xmlns="http://schemas.openxmlformats.org/spreadsheetml/2006/main" count="546" uniqueCount="147">
  <si>
    <t>a</t>
  </si>
  <si>
    <t>TARGET Firm</t>
  </si>
  <si>
    <t>Enterprise Valuation Based DCF</t>
  </si>
  <si>
    <t xml:space="preserve"> </t>
  </si>
  <si>
    <t>Historical Percentages: Abbott Laboratories</t>
  </si>
  <si>
    <t>Value Drivers</t>
  </si>
  <si>
    <t>ABT US</t>
  </si>
  <si>
    <t>P/E</t>
  </si>
  <si>
    <t xml:space="preserve">Current  </t>
  </si>
  <si>
    <t>ISRG US</t>
  </si>
  <si>
    <t>P/BV</t>
  </si>
  <si>
    <t>SYK US</t>
  </si>
  <si>
    <t>BSX US</t>
  </si>
  <si>
    <t>P/OCF</t>
  </si>
  <si>
    <t>MDT US</t>
  </si>
  <si>
    <t>P/FCF</t>
  </si>
  <si>
    <t>EV/S</t>
  </si>
  <si>
    <t>BDX US</t>
  </si>
  <si>
    <t>EV/EBITDA</t>
  </si>
  <si>
    <t>RGEN US</t>
  </si>
  <si>
    <t xml:space="preserve">EV/EBIT </t>
  </si>
  <si>
    <t>EW US</t>
  </si>
  <si>
    <t>TMO US</t>
  </si>
  <si>
    <t>DHR US</t>
  </si>
  <si>
    <t>JNJ US</t>
  </si>
  <si>
    <t>ABBV US</t>
  </si>
  <si>
    <t>Exp. Rev. Growth</t>
  </si>
  <si>
    <t xml:space="preserve"> 6/30/2024</t>
  </si>
  <si>
    <t>Sales</t>
  </si>
  <si>
    <t>6504 JP</t>
  </si>
  <si>
    <t>Gross Profit Margin</t>
  </si>
  <si>
    <t>GF SW</t>
  </si>
  <si>
    <t>ZWS US</t>
  </si>
  <si>
    <t>% Sales Growth</t>
  </si>
  <si>
    <t>CMCO</t>
  </si>
  <si>
    <t>Abbott Labratories</t>
  </si>
  <si>
    <t>INTUITIVE SURGICAL INC</t>
  </si>
  <si>
    <t>EBITDA Margin</t>
  </si>
  <si>
    <t>Repligen Corp</t>
  </si>
  <si>
    <t>Edwards Lifesciences Crop</t>
  </si>
  <si>
    <t>Thermo Fisher Scientific Inc</t>
  </si>
  <si>
    <t>Danaher Corp</t>
  </si>
  <si>
    <t xml:space="preserve">Johnson &amp; Johnson </t>
  </si>
  <si>
    <t>Mean</t>
  </si>
  <si>
    <t>Abbbvie Inc</t>
  </si>
  <si>
    <t>EBIT Margin</t>
  </si>
  <si>
    <t>Fuji Electric</t>
  </si>
  <si>
    <t>Georg Fischer</t>
  </si>
  <si>
    <t>Zurn Water</t>
  </si>
  <si>
    <t>Colum McK</t>
  </si>
  <si>
    <t>Currency</t>
  </si>
  <si>
    <t>USD</t>
  </si>
  <si>
    <t>EBITDA</t>
  </si>
  <si>
    <t>OCF Margin</t>
  </si>
  <si>
    <t>Median</t>
  </si>
  <si>
    <t>FCF Margin</t>
  </si>
  <si>
    <t>JPY</t>
  </si>
  <si>
    <t>Diff %</t>
  </si>
  <si>
    <t>CHF</t>
  </si>
  <si>
    <t>Far Forecast Revenue</t>
  </si>
  <si>
    <t>Depreciation and Amortization</t>
  </si>
  <si>
    <t>Direct Valuation</t>
  </si>
  <si>
    <t>Indirect Valuation</t>
  </si>
  <si>
    <t>Far Forecast Date</t>
  </si>
  <si>
    <t>ABT Per Share Data</t>
  </si>
  <si>
    <t>EBIT</t>
  </si>
  <si>
    <t>Book Value Per Share</t>
  </si>
  <si>
    <t>LTM Revenue</t>
  </si>
  <si>
    <t>Estimated Value Using Median P/BV</t>
  </si>
  <si>
    <t>Taxes</t>
  </si>
  <si>
    <t>LTM Date</t>
  </si>
  <si>
    <t>LTM Gross Profit</t>
  </si>
  <si>
    <t>Tax Rate</t>
  </si>
  <si>
    <t>LTM EBITDA</t>
  </si>
  <si>
    <t>Selected Metric</t>
  </si>
  <si>
    <t xml:space="preserve">LTM EBIT </t>
  </si>
  <si>
    <t>Book Value per share</t>
  </si>
  <si>
    <t>LTM OCF</t>
  </si>
  <si>
    <t>Median Multiple</t>
  </si>
  <si>
    <t>LFY FCF</t>
  </si>
  <si>
    <t>EBIAT</t>
  </si>
  <si>
    <t>Implied Share Price</t>
  </si>
  <si>
    <t>Metric</t>
  </si>
  <si>
    <t xml:space="preserve"> Depreciation and Amortization</t>
  </si>
  <si>
    <t>ABT EBITDA</t>
  </si>
  <si>
    <t>D&amp;A/Sales</t>
  </si>
  <si>
    <t>Implied EV</t>
  </si>
  <si>
    <t>Less Debt</t>
  </si>
  <si>
    <t xml:space="preserve"> Capex</t>
  </si>
  <si>
    <t>Less Preffered</t>
  </si>
  <si>
    <t>Less minority</t>
  </si>
  <si>
    <t>Plus Cash</t>
  </si>
  <si>
    <t>Capex/Sales</t>
  </si>
  <si>
    <t>Implied Equity Value</t>
  </si>
  <si>
    <t>Number of shares</t>
  </si>
  <si>
    <t>Less  Increase (or Plus Decrease) in NWC</t>
  </si>
  <si>
    <t>NWC/Sales</t>
  </si>
  <si>
    <t>not everyone reports Gross Profit</t>
  </si>
  <si>
    <t>Use most recent available if need be</t>
  </si>
  <si>
    <t>Rev Forecast Mo.</t>
  </si>
  <si>
    <t>Rev Forecast Yrs.</t>
  </si>
  <si>
    <t>Abbott Labs DCF</t>
  </si>
  <si>
    <t>Current - 06/30/2024</t>
  </si>
  <si>
    <t>Operating Scenario</t>
  </si>
  <si>
    <t>2024E</t>
  </si>
  <si>
    <t>2025E</t>
  </si>
  <si>
    <t>2026E</t>
  </si>
  <si>
    <t>2027E</t>
  </si>
  <si>
    <t>2028E</t>
  </si>
  <si>
    <t>Depreciation and Amortization*</t>
  </si>
  <si>
    <t>Unlevered Free Cash Flow</t>
  </si>
  <si>
    <t xml:space="preserve"> Depreciation and Amortization*</t>
  </si>
  <si>
    <t xml:space="preserve">  Capex</t>
  </si>
  <si>
    <t>Less Increase (or Plus Decrease) in NWC**</t>
  </si>
  <si>
    <t>Unlevered Free Cash Flow to the Firm</t>
  </si>
  <si>
    <t>Discounting of Annual Free Cash Flow</t>
  </si>
  <si>
    <t>.</t>
  </si>
  <si>
    <t>Discount Period (Mid-Year Convention)</t>
  </si>
  <si>
    <t>WACC</t>
  </si>
  <si>
    <t>PVLS Factor</t>
  </si>
  <si>
    <t>Present Value of Free Cash Flow</t>
  </si>
  <si>
    <t>Terminal (Continuing) Value</t>
  </si>
  <si>
    <t>Exit Year Sales</t>
  </si>
  <si>
    <t>Exit Multiple EV/EBITDA</t>
  </si>
  <si>
    <t>Terminal Value</t>
  </si>
  <si>
    <t>Discount Factor</t>
  </si>
  <si>
    <t>Implied "g"</t>
  </si>
  <si>
    <t>Enterprise Value:</t>
  </si>
  <si>
    <t>Cumulative Present Value of Unlevered Free Cash Flow to the Firm</t>
  </si>
  <si>
    <t>Present Value of Terminal Value</t>
  </si>
  <si>
    <t>% of Enterprise Value</t>
  </si>
  <si>
    <t>Enterprise Value</t>
  </si>
  <si>
    <t xml:space="preserve"> Total Debt</t>
  </si>
  <si>
    <t xml:space="preserve"> Preferred Stock</t>
  </si>
  <si>
    <t xml:space="preserve">  Non-Controlling Interest</t>
  </si>
  <si>
    <t xml:space="preserve">  Cash and Cash Equivalents</t>
  </si>
  <si>
    <t>Implied Equity Value (Market Cap)</t>
  </si>
  <si>
    <t>Fully Diluted Shares Outstanding</t>
  </si>
  <si>
    <t>Implied Price Per Share</t>
  </si>
  <si>
    <t>Final Target Price</t>
  </si>
  <si>
    <t>Method</t>
  </si>
  <si>
    <t>Target</t>
  </si>
  <si>
    <t>Weight</t>
  </si>
  <si>
    <t xml:space="preserve"> Direct</t>
  </si>
  <si>
    <t xml:space="preserve"> Indirect</t>
  </si>
  <si>
    <t xml:space="preserve"> DCF</t>
  </si>
  <si>
    <t xml:space="preserve">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</si>
</sst>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0\x"/>
    <numFmt numFmtId="165" formatCode="0.0%"/>
    <numFmt numFmtId="166" formatCode="_(&quot;$&quot;* #,##0_);_(&quot;$&quot;* \(#,##0\);_(&quot;$&quot;* &quot;-&quot;??_);_(@_)"/>
    <numFmt numFmtId="167" formatCode="&quot;$&quot;#,##0"/>
    <numFmt numFmtId="168" formatCode="_(* #,##0_);_(* \(#,##0\);_(* &quot;-&quot;??_);_(@_)"/>
    <numFmt numFmtId="169" formatCode="&quot;$&quot;#,##0.00_);[Red]\(&quot;$&quot;#,##0.00\)"/>
    <numFmt numFmtId="170" formatCode="&quot;$&quot;#,##0_);[Red]\(&quot;$&quot;#,##0\)"/>
    <numFmt numFmtId="171" formatCode="&quot;$&quot;#,##0.0"/>
    <numFmt numFmtId="172" formatCode="&quot;$&quot;#,##0.00"/>
    <numFmt numFmtId="173" formatCode="0.0"/>
    <numFmt numFmtId="174" formatCode="_(&quot;$&quot;* #,##0.0_);_(&quot;$&quot;* \(#,##0.0\);_(&quot;$&quot;* &quot;-&quot;??_);_(@_)"/>
    <numFmt numFmtId="175" formatCode="_(&quot;$&quot;* #,##0.00_);_(&quot;$&quot;* \(#,##0.00\);_(&quot;$&quot;* &quot;-&quot;??_);_(@_)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rgb="FF000000"/>
      <name val="Calibri"/>
    </font>
    <font>
      <sz val="11.0"/>
      <color theme="0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sz val="15.0"/>
      <color theme="1"/>
      <name val="Calibri"/>
    </font>
    <font>
      <color theme="1"/>
      <name val="Calibri"/>
      <scheme val="minor"/>
    </font>
    <font>
      <b/>
      <i/>
      <sz val="11.0"/>
      <color theme="1"/>
      <name val="Calibri"/>
    </font>
    <font>
      <i/>
      <sz val="10.0"/>
      <color rgb="FF000000"/>
      <name val="Calibri"/>
    </font>
    <font>
      <b/>
      <sz val="11.0"/>
      <color rgb="FFFF0000"/>
      <name val="Calibri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CC2E5"/>
        <bgColor rgb="FF9CC2E5"/>
      </patternFill>
    </fill>
    <fill>
      <patternFill patternType="solid">
        <fgColor rgb="FFEDEDED"/>
        <bgColor rgb="FFEDEDED"/>
      </patternFill>
    </fill>
    <fill>
      <patternFill patternType="solid">
        <fgColor rgb="FFD9E2F3"/>
        <bgColor rgb="FFD9E2F3"/>
      </patternFill>
    </fill>
    <fill>
      <patternFill patternType="solid">
        <fgColor rgb="FFC9C9C9"/>
        <bgColor rgb="FFC9C9C9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DDEBF7"/>
        <bgColor rgb="FFDDEBF7"/>
      </patternFill>
    </fill>
    <fill>
      <patternFill patternType="solid">
        <fgColor rgb="FFDEEAF6"/>
        <bgColor rgb="FFDEEAF6"/>
      </patternFill>
    </fill>
    <fill>
      <patternFill patternType="solid">
        <fgColor rgb="FFD9E1F2"/>
        <bgColor rgb="FFD9E1F2"/>
      </patternFill>
    </fill>
    <fill>
      <patternFill patternType="solid">
        <fgColor rgb="FFFFFF99"/>
        <bgColor rgb="FFFFFF99"/>
      </patternFill>
    </fill>
    <fill>
      <patternFill patternType="solid">
        <fgColor rgb="FFF7CAAC"/>
        <bgColor rgb="FFF7CAAC"/>
      </patternFill>
    </fill>
    <fill>
      <patternFill patternType="solid">
        <fgColor rgb="FFB8CCE4"/>
        <bgColor rgb="FFB8CCE4"/>
      </patternFill>
    </fill>
    <fill>
      <patternFill patternType="solid">
        <fgColor rgb="FFC5D9F1"/>
        <bgColor rgb="FFC5D9F1"/>
      </patternFill>
    </fill>
  </fills>
  <borders count="38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/>
    </xf>
    <xf borderId="1" fillId="2" fontId="1" numFmtId="0" xfId="0" applyBorder="1" applyFont="1"/>
    <xf borderId="3" fillId="0" fontId="3" numFmtId="0" xfId="0" applyBorder="1" applyFont="1"/>
    <xf borderId="1" fillId="4" fontId="1" numFmtId="0" xfId="0" applyBorder="1" applyFill="1" applyFont="1"/>
    <xf borderId="0" fillId="0" fontId="1" numFmtId="0" xfId="0" applyFont="1"/>
    <xf borderId="1" fillId="5" fontId="2" numFmtId="0" xfId="0" applyBorder="1" applyFill="1" applyFont="1"/>
    <xf borderId="4" fillId="5" fontId="2" numFmtId="0" xfId="0" applyBorder="1" applyFont="1"/>
    <xf borderId="1" fillId="5" fontId="2" numFmtId="0" xfId="0" applyAlignment="1" applyBorder="1" applyFont="1">
      <alignment horizontal="center"/>
    </xf>
    <xf borderId="5" fillId="5" fontId="2" numFmtId="0" xfId="0" applyBorder="1" applyFont="1"/>
    <xf borderId="6" fillId="5" fontId="2" numFmtId="0" xfId="0" applyBorder="1" applyFont="1"/>
    <xf borderId="7" fillId="0" fontId="2" numFmtId="0" xfId="0" applyBorder="1" applyFont="1"/>
    <xf borderId="8" fillId="5" fontId="2" numFmtId="0" xfId="0" applyBorder="1" applyFont="1"/>
    <xf borderId="9" fillId="5" fontId="2" numFmtId="0" xfId="0" applyAlignment="1" applyBorder="1" applyFont="1">
      <alignment horizontal="center"/>
    </xf>
    <xf borderId="1" fillId="4" fontId="2" numFmtId="0" xfId="0" applyBorder="1" applyFont="1"/>
    <xf borderId="10" fillId="2" fontId="4" numFmtId="0" xfId="0" applyAlignment="1" applyBorder="1" applyFont="1">
      <alignment horizontal="center"/>
    </xf>
    <xf borderId="11" fillId="2" fontId="1" numFmtId="164" xfId="0" applyAlignment="1" applyBorder="1" applyFont="1" applyNumberFormat="1">
      <alignment horizontal="center"/>
    </xf>
    <xf borderId="1" fillId="4" fontId="2" numFmtId="0" xfId="0" applyAlignment="1" applyBorder="1" applyFont="1">
      <alignment shrinkToFit="0" wrapText="1"/>
    </xf>
    <xf borderId="1" fillId="2" fontId="1" numFmtId="164" xfId="0" applyAlignment="1" applyBorder="1" applyFont="1" applyNumberFormat="1">
      <alignment horizontal="center"/>
    </xf>
    <xf borderId="1" fillId="4" fontId="5" numFmtId="0" xfId="0" applyBorder="1" applyFont="1"/>
    <xf borderId="1" fillId="6" fontId="1" numFmtId="165" xfId="0" applyBorder="1" applyFill="1" applyFont="1" applyNumberFormat="1"/>
    <xf borderId="12" fillId="2" fontId="1" numFmtId="164" xfId="0" applyAlignment="1" applyBorder="1" applyFont="1" applyNumberFormat="1">
      <alignment horizontal="center"/>
    </xf>
    <xf borderId="1" fillId="2" fontId="1" numFmtId="165" xfId="0" applyBorder="1" applyFont="1" applyNumberFormat="1"/>
    <xf borderId="1" fillId="7" fontId="2" numFmtId="0" xfId="0" applyBorder="1" applyFill="1" applyFont="1"/>
    <xf borderId="1" fillId="7" fontId="5" numFmtId="166" xfId="0" applyBorder="1" applyFont="1" applyNumberFormat="1"/>
    <xf borderId="1" fillId="8" fontId="2" numFmtId="0" xfId="0" applyBorder="1" applyFill="1" applyFont="1"/>
    <xf borderId="0" fillId="0" fontId="5" numFmtId="0" xfId="0" applyFont="1"/>
    <xf borderId="0" fillId="0" fontId="2" numFmtId="0" xfId="0" applyFont="1"/>
    <xf borderId="1" fillId="8" fontId="5" numFmtId="0" xfId="0" applyBorder="1" applyFont="1"/>
    <xf borderId="1" fillId="6" fontId="1" numFmtId="9" xfId="0" applyBorder="1" applyFont="1" applyNumberFormat="1"/>
    <xf borderId="1" fillId="2" fontId="1" numFmtId="9" xfId="0" applyBorder="1" applyFont="1" applyNumberFormat="1"/>
    <xf borderId="1" fillId="9" fontId="6" numFmtId="0" xfId="0" applyAlignment="1" applyBorder="1" applyFill="1" applyFont="1">
      <alignment horizontal="right"/>
    </xf>
    <xf borderId="1" fillId="9" fontId="1" numFmtId="0" xfId="0" applyBorder="1" applyFont="1"/>
    <xf borderId="7" fillId="0" fontId="4" numFmtId="0" xfId="0" applyBorder="1" applyFont="1"/>
    <xf borderId="9" fillId="9" fontId="4" numFmtId="0" xfId="0" applyAlignment="1" applyBorder="1" applyFont="1">
      <alignment horizontal="center"/>
    </xf>
    <xf borderId="1" fillId="4" fontId="4" numFmtId="0" xfId="0" applyBorder="1" applyFont="1"/>
    <xf borderId="1" fillId="4" fontId="4" numFmtId="0" xfId="0" applyAlignment="1" applyBorder="1" applyFont="1">
      <alignment shrinkToFit="0" wrapText="1"/>
    </xf>
    <xf borderId="1" fillId="9" fontId="1" numFmtId="10" xfId="0" applyBorder="1" applyFont="1" applyNumberFormat="1"/>
    <xf borderId="0" fillId="0" fontId="6" numFmtId="0" xfId="0" applyFont="1"/>
    <xf borderId="13" fillId="2" fontId="4" numFmtId="0" xfId="0" applyAlignment="1" applyBorder="1" applyFont="1">
      <alignment horizontal="center"/>
    </xf>
    <xf borderId="1" fillId="8" fontId="4" numFmtId="0" xfId="0" applyBorder="1" applyFont="1"/>
    <xf borderId="0" fillId="0" fontId="4" numFmtId="0" xfId="0" applyFont="1"/>
    <xf borderId="1" fillId="8" fontId="1" numFmtId="0" xfId="0" applyBorder="1" applyFont="1"/>
    <xf borderId="14" fillId="2" fontId="1" numFmtId="164" xfId="0" applyAlignment="1" applyBorder="1" applyFont="1" applyNumberFormat="1">
      <alignment horizontal="center"/>
    </xf>
    <xf borderId="15" fillId="2" fontId="1" numFmtId="164" xfId="0" applyAlignment="1" applyBorder="1" applyFont="1" applyNumberFormat="1">
      <alignment horizontal="center"/>
    </xf>
    <xf borderId="7" fillId="9" fontId="4" numFmtId="0" xfId="0" applyBorder="1" applyFont="1"/>
    <xf borderId="1" fillId="4" fontId="1" numFmtId="0" xfId="0" applyAlignment="1" applyBorder="1" applyFont="1">
      <alignment shrinkToFit="0" wrapText="1"/>
    </xf>
    <xf borderId="16" fillId="2" fontId="1" numFmtId="164" xfId="0" applyAlignment="1" applyBorder="1" applyFont="1" applyNumberFormat="1">
      <alignment horizontal="center"/>
    </xf>
    <xf borderId="17" fillId="10" fontId="4" numFmtId="0" xfId="0" applyAlignment="1" applyBorder="1" applyFill="1" applyFont="1">
      <alignment horizontal="center"/>
    </xf>
    <xf borderId="18" fillId="2" fontId="4" numFmtId="0" xfId="0" applyAlignment="1" applyBorder="1" applyFont="1">
      <alignment horizontal="center"/>
    </xf>
    <xf borderId="9" fillId="9" fontId="4" numFmtId="167" xfId="0" applyBorder="1" applyFont="1" applyNumberFormat="1"/>
    <xf borderId="19" fillId="2" fontId="1" numFmtId="10" xfId="0" applyAlignment="1" applyBorder="1" applyFont="1" applyNumberFormat="1">
      <alignment horizontal="center"/>
    </xf>
    <xf borderId="20" fillId="2" fontId="7" numFmtId="10" xfId="0" applyAlignment="1" applyBorder="1" applyFont="1" applyNumberFormat="1">
      <alignment horizontal="center"/>
    </xf>
    <xf borderId="20" fillId="2" fontId="1" numFmtId="10" xfId="0" applyAlignment="1" applyBorder="1" applyFont="1" applyNumberFormat="1">
      <alignment horizontal="center"/>
    </xf>
    <xf borderId="21" fillId="2" fontId="1" numFmtId="10" xfId="0" applyAlignment="1" applyBorder="1" applyFont="1" applyNumberFormat="1">
      <alignment horizontal="center"/>
    </xf>
    <xf borderId="0" fillId="0" fontId="1" numFmtId="168" xfId="0" applyFont="1" applyNumberFormat="1"/>
    <xf borderId="1" fillId="9" fontId="1" numFmtId="0" xfId="0" applyAlignment="1" applyBorder="1" applyFont="1">
      <alignment horizontal="right"/>
    </xf>
    <xf borderId="0" fillId="0" fontId="1" numFmtId="167" xfId="0" applyFont="1" applyNumberFormat="1"/>
    <xf borderId="1" fillId="11" fontId="8" numFmtId="0" xfId="0" applyBorder="1" applyFill="1" applyFont="1"/>
    <xf borderId="1" fillId="11" fontId="1" numFmtId="165" xfId="0" applyBorder="1" applyFont="1" applyNumberFormat="1"/>
    <xf borderId="7" fillId="9" fontId="4" numFmtId="0" xfId="0" applyAlignment="1" applyBorder="1" applyFont="1">
      <alignment horizontal="left"/>
    </xf>
    <xf borderId="17" fillId="12" fontId="7" numFmtId="14" xfId="0" applyBorder="1" applyFill="1" applyFont="1" applyNumberFormat="1"/>
    <xf borderId="9" fillId="9" fontId="4" numFmtId="14" xfId="0" applyBorder="1" applyFont="1" applyNumberFormat="1"/>
    <xf borderId="0" fillId="0" fontId="9" numFmtId="0" xfId="0" applyFont="1"/>
    <xf borderId="0" fillId="0" fontId="1" numFmtId="14" xfId="0" applyFont="1" applyNumberFormat="1"/>
    <xf borderId="9" fillId="5" fontId="4" numFmtId="0" xfId="0" applyAlignment="1" applyBorder="1" applyFont="1">
      <alignment horizontal="center"/>
    </xf>
    <xf borderId="0" fillId="0" fontId="1" numFmtId="169" xfId="0" applyFont="1" applyNumberFormat="1"/>
    <xf borderId="7" fillId="0" fontId="4" numFmtId="0" xfId="0" applyAlignment="1" applyBorder="1" applyFont="1">
      <alignment horizontal="left"/>
    </xf>
    <xf borderId="0" fillId="0" fontId="10" numFmtId="169" xfId="0" applyFont="1" applyNumberFormat="1"/>
    <xf borderId="1" fillId="11" fontId="1" numFmtId="9" xfId="0" applyBorder="1" applyFont="1" applyNumberFormat="1"/>
    <xf borderId="1" fillId="12" fontId="7" numFmtId="169" xfId="0" applyBorder="1" applyFont="1" applyNumberFormat="1"/>
    <xf borderId="14" fillId="2" fontId="7" numFmtId="0" xfId="0" applyBorder="1" applyFont="1"/>
    <xf borderId="16" fillId="2" fontId="7" numFmtId="0" xfId="0" applyBorder="1" applyFont="1"/>
    <xf borderId="11" fillId="2" fontId="1" numFmtId="0" xfId="0" applyBorder="1" applyFont="1"/>
    <xf borderId="12" fillId="2" fontId="1" numFmtId="169" xfId="0" applyBorder="1" applyFont="1" applyNumberFormat="1"/>
    <xf borderId="12" fillId="2" fontId="1" numFmtId="164" xfId="0" applyBorder="1" applyFont="1" applyNumberFormat="1"/>
    <xf borderId="22" fillId="9" fontId="4" numFmtId="0" xfId="0" applyBorder="1" applyFont="1"/>
    <xf borderId="23" fillId="9" fontId="4" numFmtId="167" xfId="0" applyBorder="1" applyFont="1" applyNumberFormat="1"/>
    <xf borderId="19" fillId="9" fontId="7" numFmtId="0" xfId="0" applyBorder="1" applyFont="1"/>
    <xf borderId="21" fillId="9" fontId="7" numFmtId="169" xfId="0" applyBorder="1" applyFont="1" applyNumberFormat="1"/>
    <xf borderId="14" fillId="2" fontId="7" numFmtId="14" xfId="0" applyBorder="1" applyFont="1" applyNumberFormat="1"/>
    <xf borderId="16" fillId="2" fontId="7" numFmtId="0" xfId="0" applyAlignment="1" applyBorder="1" applyFont="1">
      <alignment readingOrder="0"/>
    </xf>
    <xf borderId="12" fillId="2" fontId="1" numFmtId="0" xfId="0" applyBorder="1" applyFont="1"/>
    <xf borderId="1" fillId="7" fontId="5" numFmtId="170" xfId="0" applyBorder="1" applyFont="1" applyNumberFormat="1"/>
    <xf borderId="1" fillId="2" fontId="1" numFmtId="171" xfId="0" applyBorder="1" applyFont="1" applyNumberFormat="1"/>
    <xf borderId="12" fillId="2" fontId="1" numFmtId="167" xfId="0" applyBorder="1" applyFont="1" applyNumberFormat="1"/>
    <xf borderId="11" fillId="2" fontId="1" numFmtId="14" xfId="0" applyBorder="1" applyFont="1" applyNumberFormat="1"/>
    <xf borderId="12" fillId="2" fontId="1" numFmtId="164" xfId="0" applyAlignment="1" applyBorder="1" applyFont="1" applyNumberFormat="1">
      <alignment horizontal="center" readingOrder="0"/>
    </xf>
    <xf borderId="0" fillId="0" fontId="1" numFmtId="172" xfId="0" applyFont="1" applyNumberFormat="1"/>
    <xf borderId="11" fillId="2" fontId="7" numFmtId="0" xfId="0" applyBorder="1" applyFont="1"/>
    <xf borderId="12" fillId="2" fontId="1" numFmtId="170" xfId="0" applyBorder="1" applyFont="1" applyNumberFormat="1"/>
    <xf borderId="12" fillId="2" fontId="1" numFmtId="167" xfId="0" applyAlignment="1" applyBorder="1" applyFont="1" applyNumberFormat="1">
      <alignment horizontal="right" vertical="center"/>
    </xf>
    <xf borderId="1" fillId="11" fontId="1" numFmtId="168" xfId="0" applyBorder="1" applyFont="1" applyNumberFormat="1"/>
    <xf borderId="12" fillId="2" fontId="7" numFmtId="167" xfId="0" applyBorder="1" applyFont="1" applyNumberFormat="1"/>
    <xf borderId="21" fillId="9" fontId="7" numFmtId="172" xfId="0" applyBorder="1" applyFont="1" applyNumberFormat="1"/>
    <xf borderId="22" fillId="0" fontId="4" numFmtId="0" xfId="0" applyBorder="1" applyFont="1"/>
    <xf borderId="1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5" fontId="1" numFmtId="0" xfId="0" applyBorder="1" applyFont="1"/>
    <xf borderId="24" fillId="5" fontId="1" numFmtId="0" xfId="0" applyBorder="1" applyFont="1"/>
    <xf borderId="25" fillId="5" fontId="1" numFmtId="0" xfId="0" applyBorder="1" applyFont="1"/>
    <xf borderId="25" fillId="4" fontId="1" numFmtId="0" xfId="0" applyBorder="1" applyFont="1"/>
    <xf borderId="25" fillId="13" fontId="1" numFmtId="0" xfId="0" applyBorder="1" applyFill="1" applyFont="1"/>
    <xf borderId="25" fillId="14" fontId="1" numFmtId="0" xfId="0" applyBorder="1" applyFill="1" applyFont="1"/>
    <xf borderId="26" fillId="5" fontId="1" numFmtId="0" xfId="0" applyBorder="1" applyFont="1"/>
    <xf borderId="1" fillId="2" fontId="7" numFmtId="0" xfId="0" applyBorder="1" applyFont="1"/>
    <xf borderId="1" fillId="13" fontId="1" numFmtId="0" xfId="0" applyBorder="1" applyFont="1"/>
    <xf borderId="1" fillId="14" fontId="1" numFmtId="2" xfId="0" applyBorder="1" applyFont="1" applyNumberFormat="1"/>
    <xf borderId="1" fillId="14" fontId="1" numFmtId="0" xfId="0" applyBorder="1" applyFont="1"/>
    <xf borderId="1" fillId="2" fontId="5" numFmtId="0" xfId="0" applyBorder="1" applyFont="1"/>
    <xf borderId="1" fillId="5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2" fontId="1" numFmtId="10" xfId="0" applyBorder="1" applyFont="1" applyNumberFormat="1"/>
    <xf borderId="17" fillId="15" fontId="4" numFmtId="0" xfId="0" applyBorder="1" applyFill="1" applyFont="1"/>
    <xf borderId="0" fillId="0" fontId="7" numFmtId="9" xfId="0" applyAlignment="1" applyFont="1" applyNumberFormat="1">
      <alignment horizontal="center"/>
    </xf>
    <xf borderId="27" fillId="6" fontId="1" numFmtId="165" xfId="0" applyBorder="1" applyFont="1" applyNumberFormat="1"/>
    <xf borderId="25" fillId="16" fontId="1" numFmtId="0" xfId="0" applyBorder="1" applyFill="1" applyFont="1"/>
    <xf borderId="24" fillId="16" fontId="1" numFmtId="0" xfId="0" applyBorder="1" applyFont="1"/>
    <xf borderId="27" fillId="17" fontId="1" numFmtId="165" xfId="0" applyBorder="1" applyFill="1" applyFont="1" applyNumberFormat="1"/>
    <xf borderId="1" fillId="16" fontId="1" numFmtId="0" xfId="0" applyBorder="1" applyFont="1"/>
    <xf borderId="1" fillId="17" fontId="1" numFmtId="9" xfId="0" applyBorder="1" applyFont="1" applyNumberFormat="1"/>
    <xf borderId="1" fillId="2" fontId="1" numFmtId="0" xfId="0" applyAlignment="1" applyBorder="1" applyFont="1">
      <alignment horizontal="right"/>
    </xf>
    <xf borderId="28" fillId="5" fontId="1" numFmtId="0" xfId="0" applyBorder="1" applyFont="1"/>
    <xf borderId="29" fillId="6" fontId="1" numFmtId="9" xfId="0" applyBorder="1" applyFont="1" applyNumberFormat="1"/>
    <xf borderId="29" fillId="4" fontId="1" numFmtId="0" xfId="0" applyBorder="1" applyFont="1"/>
    <xf borderId="29" fillId="16" fontId="1" numFmtId="0" xfId="0" applyBorder="1" applyFont="1"/>
    <xf borderId="29" fillId="17" fontId="1" numFmtId="9" xfId="0" applyBorder="1" applyFont="1" applyNumberFormat="1"/>
    <xf borderId="0" fillId="0" fontId="7" numFmtId="0" xfId="0" applyFont="1"/>
    <xf borderId="1" fillId="2" fontId="1" numFmtId="2" xfId="0" applyBorder="1" applyFont="1" applyNumberFormat="1"/>
    <xf borderId="1" fillId="2" fontId="1" numFmtId="173" xfId="0" applyBorder="1" applyFont="1" applyNumberFormat="1"/>
    <xf borderId="5" fillId="3" fontId="2" numFmtId="0" xfId="0" applyBorder="1" applyFont="1"/>
    <xf borderId="6" fillId="3" fontId="4" numFmtId="0" xfId="0" applyBorder="1" applyFont="1"/>
    <xf borderId="8" fillId="3" fontId="4" numFmtId="0" xfId="0" applyBorder="1" applyFont="1"/>
    <xf borderId="12" fillId="2" fontId="1" numFmtId="174" xfId="0" applyBorder="1" applyFont="1" applyNumberFormat="1"/>
    <xf borderId="1" fillId="4" fontId="1" numFmtId="0" xfId="0" applyAlignment="1" applyBorder="1" applyFont="1">
      <alignment horizontal="center"/>
    </xf>
    <xf borderId="12" fillId="18" fontId="1" numFmtId="173" xfId="0" applyAlignment="1" applyBorder="1" applyFill="1" applyFont="1" applyNumberFormat="1">
      <alignment readingOrder="0"/>
    </xf>
    <xf borderId="12" fillId="2" fontId="1" numFmtId="2" xfId="0" applyBorder="1" applyFont="1" applyNumberFormat="1"/>
    <xf borderId="5" fillId="2" fontId="1" numFmtId="0" xfId="0" applyBorder="1" applyFont="1"/>
    <xf borderId="6" fillId="2" fontId="1" numFmtId="0" xfId="0" applyBorder="1" applyFont="1"/>
    <xf borderId="8" fillId="2" fontId="1" numFmtId="165" xfId="0" applyBorder="1" applyFont="1" applyNumberFormat="1"/>
    <xf borderId="1" fillId="2" fontId="4" numFmtId="0" xfId="0" applyBorder="1" applyFont="1"/>
    <xf borderId="8" fillId="3" fontId="1" numFmtId="0" xfId="0" applyBorder="1" applyFont="1"/>
    <xf borderId="11" fillId="2" fontId="6" numFmtId="0" xfId="0" applyAlignment="1" applyBorder="1" applyFont="1">
      <alignment horizontal="right"/>
    </xf>
    <xf borderId="12" fillId="2" fontId="6" numFmtId="165" xfId="0" applyBorder="1" applyFont="1" applyNumberFormat="1"/>
    <xf borderId="19" fillId="2" fontId="1" numFmtId="0" xfId="0" applyBorder="1" applyFont="1"/>
    <xf borderId="21" fillId="2" fontId="1" numFmtId="174" xfId="0" applyBorder="1" applyFont="1" applyNumberFormat="1"/>
    <xf borderId="1" fillId="2" fontId="1" numFmtId="174" xfId="0" applyBorder="1" applyFont="1" applyNumberFormat="1"/>
    <xf borderId="8" fillId="3" fontId="1" numFmtId="174" xfId="0" applyBorder="1" applyFont="1" applyNumberFormat="1"/>
    <xf borderId="12" fillId="19" fontId="1" numFmtId="174" xfId="0" applyBorder="1" applyFill="1" applyFont="1" applyNumberFormat="1"/>
    <xf borderId="11" fillId="2" fontId="11" numFmtId="0" xfId="0" applyBorder="1" applyFont="1"/>
    <xf borderId="11" fillId="2" fontId="12" numFmtId="0" xfId="0" applyBorder="1" applyFont="1"/>
    <xf borderId="12" fillId="2" fontId="1" numFmtId="175" xfId="0" applyBorder="1" applyFont="1" applyNumberFormat="1"/>
    <xf borderId="12" fillId="19" fontId="1" numFmtId="0" xfId="0" applyBorder="1" applyFont="1"/>
    <xf borderId="21" fillId="2" fontId="1" numFmtId="175" xfId="0" applyBorder="1" applyFont="1" applyNumberFormat="1"/>
    <xf borderId="30" fillId="3" fontId="2" numFmtId="0" xfId="0" applyAlignment="1" applyBorder="1" applyFont="1">
      <alignment horizontal="center"/>
    </xf>
    <xf borderId="31" fillId="0" fontId="3" numFmtId="0" xfId="0" applyBorder="1" applyFont="1"/>
    <xf borderId="32" fillId="0" fontId="3" numFmtId="0" xfId="0" applyBorder="1" applyFont="1"/>
    <xf borderId="33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34" fillId="0" fontId="7" numFmtId="0" xfId="0" applyAlignment="1" applyBorder="1" applyFont="1">
      <alignment horizontal="center"/>
    </xf>
    <xf borderId="33" fillId="0" fontId="1" numFmtId="0" xfId="0" applyBorder="1" applyFont="1"/>
    <xf borderId="0" fillId="0" fontId="1" numFmtId="172" xfId="0" applyAlignment="1" applyFont="1" applyNumberFormat="1">
      <alignment horizontal="center"/>
    </xf>
    <xf borderId="34" fillId="0" fontId="1" numFmtId="9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7" numFmtId="0" xfId="0" applyBorder="1" applyFont="1"/>
    <xf borderId="36" fillId="0" fontId="7" numFmtId="172" xfId="0" applyAlignment="1" applyBorder="1" applyFont="1" applyNumberFormat="1">
      <alignment horizontal="center"/>
    </xf>
    <xf borderId="37" fillId="0" fontId="7" numFmtId="9" xfId="0" applyAlignment="1" applyBorder="1" applyFont="1" applyNumberFormat="1">
      <alignment horizontal="center" vertical="center"/>
    </xf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8.29"/>
    <col customWidth="1" min="3" max="3" width="4.14"/>
    <col customWidth="1" min="4" max="4" width="20.14"/>
    <col customWidth="1" min="5" max="5" width="22.71"/>
    <col customWidth="1" min="6" max="7" width="5.43"/>
    <col customWidth="1" min="8" max="8" width="20.14"/>
    <col customWidth="1" min="9" max="9" width="13.43"/>
    <col customWidth="1" min="10" max="10" width="5.43"/>
    <col customWidth="1" min="11" max="11" width="20.14"/>
    <col customWidth="1" min="12" max="12" width="23.86"/>
    <col customWidth="1" min="13" max="13" width="3.14"/>
    <col customWidth="1" min="14" max="14" width="20.14"/>
    <col customWidth="1" min="15" max="15" width="25.14"/>
    <col customWidth="1" min="16" max="16" width="4.0"/>
    <col customWidth="1" min="17" max="17" width="28.14"/>
    <col customWidth="1" min="18" max="18" width="18.0"/>
    <col customWidth="1" min="19" max="19" width="5.43"/>
    <col customWidth="1" min="20" max="20" width="28.14"/>
    <col customWidth="1" min="21" max="21" width="18.43"/>
    <col customWidth="1" min="22" max="22" width="5.86"/>
    <col customWidth="1" min="23" max="23" width="28.14"/>
    <col customWidth="1" min="24" max="24" width="15.43"/>
    <col customWidth="1" hidden="1" min="25" max="25" width="6.29"/>
    <col customWidth="1" hidden="1" min="26" max="26" width="28.14"/>
    <col customWidth="1" hidden="1" min="27" max="27" width="25.29"/>
    <col customWidth="1" hidden="1" min="28" max="28" width="5.86"/>
    <col customWidth="1" hidden="1" min="29" max="29" width="28.14"/>
    <col customWidth="1" hidden="1" min="30" max="30" width="19.14"/>
    <col customWidth="1" hidden="1" min="31" max="31" width="8.86"/>
    <col customWidth="1" hidden="1" min="32" max="32" width="18.86"/>
    <col customWidth="1" hidden="1" min="33" max="33" width="12.14"/>
    <col customWidth="1" hidden="1" min="34" max="34" width="8.86"/>
    <col customWidth="1" hidden="1" min="35" max="35" width="18.86"/>
    <col customWidth="1" hidden="1" min="36" max="36" width="12.14"/>
  </cols>
  <sheetData>
    <row r="1">
      <c r="A1" s="2" t="s">
        <v>1</v>
      </c>
      <c r="B1" s="4"/>
      <c r="C1" s="5"/>
      <c r="D1" s="6">
        <v>1.0</v>
      </c>
      <c r="E1" s="6"/>
      <c r="F1" s="5"/>
      <c r="G1" s="5"/>
      <c r="H1" s="6">
        <v>6.0</v>
      </c>
      <c r="I1" s="6"/>
      <c r="J1" s="5"/>
      <c r="K1" s="6">
        <v>7.0</v>
      </c>
      <c r="L1" s="6"/>
      <c r="M1" s="5" t="s">
        <v>3</v>
      </c>
      <c r="N1" s="6">
        <v>8.0</v>
      </c>
      <c r="O1" s="6"/>
      <c r="P1" s="5" t="s">
        <v>3</v>
      </c>
      <c r="Q1" s="6">
        <v>9.0</v>
      </c>
      <c r="R1" s="6"/>
      <c r="S1" s="5"/>
      <c r="T1" s="6">
        <v>10.0</v>
      </c>
      <c r="U1" s="6" t="s">
        <v>3</v>
      </c>
      <c r="V1" s="5"/>
      <c r="W1" s="6">
        <v>11.0</v>
      </c>
      <c r="X1" s="6"/>
      <c r="Y1" s="6"/>
      <c r="Z1" s="6">
        <v>12.0</v>
      </c>
      <c r="AA1" s="6"/>
      <c r="AB1" s="6"/>
      <c r="AC1" s="6">
        <v>13.0</v>
      </c>
      <c r="AD1" s="6"/>
      <c r="AE1" s="6"/>
      <c r="AF1" s="6">
        <v>14.0</v>
      </c>
      <c r="AG1" s="6"/>
      <c r="AH1" s="6"/>
      <c r="AI1" s="6"/>
      <c r="AJ1" s="6"/>
    </row>
    <row r="2">
      <c r="A2" s="12"/>
      <c r="B2" s="14" t="s">
        <v>6</v>
      </c>
      <c r="C2" s="15"/>
      <c r="D2" s="12"/>
      <c r="E2" s="14" t="s">
        <v>9</v>
      </c>
      <c r="F2" s="18"/>
      <c r="G2" s="18"/>
      <c r="H2" s="12" t="s">
        <v>3</v>
      </c>
      <c r="I2" s="14" t="s">
        <v>19</v>
      </c>
      <c r="J2" s="20"/>
      <c r="K2" s="12"/>
      <c r="L2" s="14" t="s">
        <v>21</v>
      </c>
      <c r="M2" s="18"/>
      <c r="N2" s="12" t="s">
        <v>3</v>
      </c>
      <c r="O2" s="14" t="s">
        <v>22</v>
      </c>
      <c r="P2" s="18"/>
      <c r="Q2" s="12" t="s">
        <v>3</v>
      </c>
      <c r="R2" s="14" t="s">
        <v>23</v>
      </c>
      <c r="S2" s="15"/>
      <c r="T2" s="12"/>
      <c r="U2" s="14" t="s">
        <v>24</v>
      </c>
      <c r="V2" s="18"/>
      <c r="W2" s="12" t="s">
        <v>3</v>
      </c>
      <c r="X2" s="14" t="s">
        <v>25</v>
      </c>
      <c r="Y2" s="26"/>
      <c r="Z2" s="27"/>
      <c r="AA2" s="28" t="s">
        <v>29</v>
      </c>
      <c r="AB2" s="29"/>
      <c r="AC2" s="27"/>
      <c r="AD2" s="28" t="s">
        <v>31</v>
      </c>
      <c r="AE2" s="29"/>
      <c r="AF2" s="27"/>
      <c r="AG2" s="28" t="s">
        <v>32</v>
      </c>
      <c r="AH2" s="27"/>
      <c r="AI2" s="27"/>
      <c r="AJ2" s="28" t="s">
        <v>34</v>
      </c>
    </row>
    <row r="3">
      <c r="A3" s="34"/>
      <c r="B3" s="35" t="s">
        <v>35</v>
      </c>
      <c r="C3" s="36"/>
      <c r="D3" s="34"/>
      <c r="E3" s="35" t="s">
        <v>36</v>
      </c>
      <c r="F3" s="37"/>
      <c r="G3" s="37"/>
      <c r="H3" s="34"/>
      <c r="I3" s="35" t="s">
        <v>38</v>
      </c>
      <c r="J3" s="5"/>
      <c r="K3" s="34"/>
      <c r="L3" s="35" t="s">
        <v>39</v>
      </c>
      <c r="M3" s="37"/>
      <c r="N3" s="34"/>
      <c r="O3" s="35" t="s">
        <v>40</v>
      </c>
      <c r="P3" s="37"/>
      <c r="Q3" s="34"/>
      <c r="R3" s="35" t="s">
        <v>41</v>
      </c>
      <c r="S3" s="36"/>
      <c r="T3" s="34"/>
      <c r="U3" s="35" t="s">
        <v>42</v>
      </c>
      <c r="V3" s="37"/>
      <c r="W3" s="34"/>
      <c r="X3" s="35" t="s">
        <v>44</v>
      </c>
      <c r="Y3" s="41"/>
      <c r="Z3" s="6"/>
      <c r="AA3" s="42" t="s">
        <v>46</v>
      </c>
      <c r="AB3" s="43"/>
      <c r="AC3" s="6"/>
      <c r="AD3" s="42" t="s">
        <v>47</v>
      </c>
      <c r="AE3" s="43"/>
      <c r="AF3" s="6"/>
      <c r="AG3" s="42" t="s">
        <v>48</v>
      </c>
      <c r="AH3" s="6"/>
      <c r="AI3" s="6"/>
      <c r="AJ3" s="42" t="s">
        <v>49</v>
      </c>
    </row>
    <row r="4">
      <c r="A4" s="46" t="s">
        <v>50</v>
      </c>
      <c r="B4" s="35" t="s">
        <v>51</v>
      </c>
      <c r="C4" s="5"/>
      <c r="D4" s="46" t="s">
        <v>50</v>
      </c>
      <c r="E4" s="35" t="s">
        <v>51</v>
      </c>
      <c r="F4" s="37"/>
      <c r="G4" s="47"/>
      <c r="H4" s="46" t="s">
        <v>50</v>
      </c>
      <c r="I4" s="35" t="s">
        <v>51</v>
      </c>
      <c r="J4" s="5"/>
      <c r="K4" s="46" t="s">
        <v>50</v>
      </c>
      <c r="L4" s="35" t="s">
        <v>51</v>
      </c>
      <c r="M4" s="47"/>
      <c r="N4" s="46" t="s">
        <v>50</v>
      </c>
      <c r="O4" s="35" t="s">
        <v>51</v>
      </c>
      <c r="P4" s="47"/>
      <c r="Q4" s="46" t="s">
        <v>50</v>
      </c>
      <c r="R4" s="35" t="s">
        <v>51</v>
      </c>
      <c r="S4" s="5"/>
      <c r="T4" s="46" t="s">
        <v>50</v>
      </c>
      <c r="U4" s="35" t="s">
        <v>51</v>
      </c>
      <c r="V4" s="47"/>
      <c r="W4" s="46" t="s">
        <v>50</v>
      </c>
      <c r="X4" s="35" t="s">
        <v>51</v>
      </c>
      <c r="Y4" s="43"/>
      <c r="Z4" s="6" t="s">
        <v>50</v>
      </c>
      <c r="AA4" s="49" t="s">
        <v>56</v>
      </c>
      <c r="AB4" s="43"/>
      <c r="AC4" s="6" t="s">
        <v>50</v>
      </c>
      <c r="AD4" s="49" t="s">
        <v>58</v>
      </c>
      <c r="AE4" s="43"/>
      <c r="AF4" s="6" t="s">
        <v>50</v>
      </c>
      <c r="AG4" s="49" t="s">
        <v>51</v>
      </c>
      <c r="AH4" s="6"/>
      <c r="AI4" s="6" t="s">
        <v>50</v>
      </c>
      <c r="AJ4" s="49" t="s">
        <v>51</v>
      </c>
    </row>
    <row r="5">
      <c r="A5" s="46" t="s">
        <v>59</v>
      </c>
      <c r="B5" s="51">
        <v>44780.3</v>
      </c>
      <c r="C5" s="5"/>
      <c r="D5" s="46" t="s">
        <v>59</v>
      </c>
      <c r="E5" s="51">
        <v>9378.4</v>
      </c>
      <c r="F5" s="37"/>
      <c r="G5" s="47"/>
      <c r="H5" s="46" t="s">
        <v>59</v>
      </c>
      <c r="I5" s="51">
        <v>706.2</v>
      </c>
      <c r="J5" s="5"/>
      <c r="K5" s="46" t="s">
        <v>59</v>
      </c>
      <c r="L5" s="51">
        <v>6294.1</v>
      </c>
      <c r="M5" s="47"/>
      <c r="N5" s="46" t="s">
        <v>59</v>
      </c>
      <c r="O5" s="51">
        <v>45496.5</v>
      </c>
      <c r="P5" s="47"/>
      <c r="Q5" s="46" t="s">
        <v>59</v>
      </c>
      <c r="R5" s="51">
        <v>25843.8</v>
      </c>
      <c r="S5" s="5"/>
      <c r="T5" s="46" t="s">
        <v>59</v>
      </c>
      <c r="U5" s="51">
        <v>91155.2</v>
      </c>
      <c r="V5" s="47"/>
      <c r="W5" s="46" t="s">
        <v>59</v>
      </c>
      <c r="X5" s="51">
        <v>58665.0</v>
      </c>
      <c r="Y5" s="43"/>
      <c r="Z5" s="34" t="s">
        <v>59</v>
      </c>
      <c r="AA5" s="56">
        <v>1026.0</v>
      </c>
      <c r="AB5" s="43"/>
      <c r="AC5" s="34" t="s">
        <v>59</v>
      </c>
      <c r="AD5" s="58">
        <v>4437.0</v>
      </c>
      <c r="AE5" s="43"/>
      <c r="AF5" s="34" t="s">
        <v>59</v>
      </c>
      <c r="AG5" s="58">
        <v>1596.0</v>
      </c>
      <c r="AH5" s="6"/>
      <c r="AI5" s="34" t="s">
        <v>59</v>
      </c>
      <c r="AJ5" s="58">
        <v>1059.0</v>
      </c>
    </row>
    <row r="6">
      <c r="A6" s="61" t="s">
        <v>63</v>
      </c>
      <c r="B6" s="63">
        <v>46022.0</v>
      </c>
      <c r="C6" s="5"/>
      <c r="D6" s="61" t="s">
        <v>63</v>
      </c>
      <c r="E6" s="63">
        <v>46022.0</v>
      </c>
      <c r="F6" s="37"/>
      <c r="G6" s="47"/>
      <c r="H6" s="61" t="s">
        <v>63</v>
      </c>
      <c r="I6" s="63">
        <v>46022.0</v>
      </c>
      <c r="J6" s="5"/>
      <c r="K6" s="61" t="s">
        <v>63</v>
      </c>
      <c r="L6" s="63">
        <v>45961.0</v>
      </c>
      <c r="M6" s="47"/>
      <c r="N6" s="61" t="s">
        <v>63</v>
      </c>
      <c r="O6" s="63">
        <v>46022.0</v>
      </c>
      <c r="P6" s="47"/>
      <c r="Q6" s="61" t="s">
        <v>63</v>
      </c>
      <c r="R6" s="63">
        <v>46022.0</v>
      </c>
      <c r="S6" s="5"/>
      <c r="T6" s="61" t="s">
        <v>63</v>
      </c>
      <c r="U6" s="63">
        <v>46022.0</v>
      </c>
      <c r="V6" s="47"/>
      <c r="W6" s="61" t="s">
        <v>63</v>
      </c>
      <c r="X6" s="63">
        <v>46022.0</v>
      </c>
      <c r="Y6" s="43"/>
      <c r="Z6" s="68" t="s">
        <v>63</v>
      </c>
      <c r="AA6" s="65">
        <v>45382.0</v>
      </c>
      <c r="AB6" s="43"/>
      <c r="AC6" s="68" t="s">
        <v>63</v>
      </c>
      <c r="AD6" s="65">
        <v>45746.0</v>
      </c>
      <c r="AE6" s="43"/>
      <c r="AF6" s="68" t="s">
        <v>63</v>
      </c>
      <c r="AG6" s="65">
        <v>45657.0</v>
      </c>
      <c r="AH6" s="6"/>
      <c r="AI6" s="68" t="s">
        <v>63</v>
      </c>
      <c r="AJ6" s="65">
        <v>45746.0</v>
      </c>
    </row>
    <row r="7">
      <c r="A7" s="61" t="s">
        <v>67</v>
      </c>
      <c r="B7" s="51">
        <v>40725.0</v>
      </c>
      <c r="C7" s="5"/>
      <c r="D7" s="61" t="s">
        <v>67</v>
      </c>
      <c r="E7" s="51">
        <v>7572.5</v>
      </c>
      <c r="F7" s="37"/>
      <c r="G7" s="47"/>
      <c r="H7" s="61" t="s">
        <v>67</v>
      </c>
      <c r="I7" s="51">
        <v>602.4</v>
      </c>
      <c r="J7" s="5"/>
      <c r="K7" s="61" t="s">
        <v>67</v>
      </c>
      <c r="L7" s="51">
        <v>5999.1</v>
      </c>
      <c r="M7" s="47"/>
      <c r="N7" s="61" t="s">
        <v>67</v>
      </c>
      <c r="O7" s="51">
        <v>42364.0</v>
      </c>
      <c r="P7" s="47"/>
      <c r="Q7" s="61" t="s">
        <v>67</v>
      </c>
      <c r="R7" s="51">
        <v>24817.0</v>
      </c>
      <c r="S7" s="5"/>
      <c r="T7" s="61" t="s">
        <v>67</v>
      </c>
      <c r="U7" s="51">
        <v>86576.0</v>
      </c>
      <c r="V7" s="47"/>
      <c r="W7" s="61" t="s">
        <v>67</v>
      </c>
      <c r="X7" s="51">
        <v>55000.0</v>
      </c>
      <c r="Y7" s="43"/>
      <c r="Z7" s="68" t="s">
        <v>67</v>
      </c>
      <c r="AA7" s="56">
        <v>959.7</v>
      </c>
      <c r="AB7" s="43"/>
      <c r="AC7" s="68" t="s">
        <v>67</v>
      </c>
      <c r="AD7" s="58">
        <v>3988.0</v>
      </c>
      <c r="AE7" s="43"/>
      <c r="AF7" s="68" t="s">
        <v>67</v>
      </c>
      <c r="AG7" s="58">
        <v>1533.0</v>
      </c>
      <c r="AH7" s="6"/>
      <c r="AI7" s="68" t="s">
        <v>67</v>
      </c>
      <c r="AJ7" s="58">
        <v>951.0</v>
      </c>
    </row>
    <row r="8">
      <c r="A8" s="61" t="s">
        <v>70</v>
      </c>
      <c r="B8" s="63">
        <v>45473.0</v>
      </c>
      <c r="C8" s="5"/>
      <c r="D8" s="61" t="s">
        <v>70</v>
      </c>
      <c r="E8" s="63">
        <v>45473.0</v>
      </c>
      <c r="F8" s="37"/>
      <c r="G8" s="47"/>
      <c r="H8" s="61" t="s">
        <v>70</v>
      </c>
      <c r="I8" s="63">
        <v>45473.0</v>
      </c>
      <c r="J8" s="5"/>
      <c r="K8" s="61" t="s">
        <v>70</v>
      </c>
      <c r="L8" s="63">
        <v>45473.0</v>
      </c>
      <c r="M8" s="47"/>
      <c r="N8" s="61" t="s">
        <v>70</v>
      </c>
      <c r="O8" s="63">
        <v>45472.0</v>
      </c>
      <c r="P8" s="47"/>
      <c r="Q8" s="61" t="s">
        <v>70</v>
      </c>
      <c r="R8" s="63">
        <v>45471.0</v>
      </c>
      <c r="S8" s="5"/>
      <c r="T8" s="61" t="s">
        <v>70</v>
      </c>
      <c r="U8" s="63">
        <v>45473.0</v>
      </c>
      <c r="V8" s="47"/>
      <c r="W8" s="61" t="s">
        <v>70</v>
      </c>
      <c r="X8" s="63">
        <v>45473.0</v>
      </c>
      <c r="Y8" s="43"/>
      <c r="Z8" s="68" t="s">
        <v>70</v>
      </c>
      <c r="AA8" s="65">
        <v>44651.0</v>
      </c>
      <c r="AB8" s="43"/>
      <c r="AC8" s="68" t="s">
        <v>70</v>
      </c>
      <c r="AD8" s="65">
        <v>44742.0</v>
      </c>
      <c r="AE8" s="43"/>
      <c r="AF8" s="68" t="s">
        <v>70</v>
      </c>
      <c r="AG8" s="65">
        <v>45107.0</v>
      </c>
      <c r="AH8" s="6"/>
      <c r="AI8" s="68" t="s">
        <v>70</v>
      </c>
      <c r="AJ8" s="65">
        <v>45107.0</v>
      </c>
    </row>
    <row r="9">
      <c r="A9" s="46" t="s">
        <v>71</v>
      </c>
      <c r="B9" s="51">
        <v>22662.0</v>
      </c>
      <c r="C9" s="5"/>
      <c r="D9" s="46" t="s">
        <v>71</v>
      </c>
      <c r="E9" s="51">
        <v>5062.7</v>
      </c>
      <c r="F9" s="37"/>
      <c r="G9" s="47"/>
      <c r="H9" s="46" t="s">
        <v>71</v>
      </c>
      <c r="I9" s="51">
        <v>280.5</v>
      </c>
      <c r="J9" s="5"/>
      <c r="K9" s="46" t="s">
        <v>71</v>
      </c>
      <c r="L9" s="51">
        <v>4620.9</v>
      </c>
      <c r="M9" s="47"/>
      <c r="N9" s="46" t="s">
        <v>71</v>
      </c>
      <c r="O9" s="51">
        <v>17416.0</v>
      </c>
      <c r="P9" s="47"/>
      <c r="Q9" s="46" t="s">
        <v>71</v>
      </c>
      <c r="R9" s="51">
        <v>14702.0</v>
      </c>
      <c r="S9" s="5"/>
      <c r="T9" s="46" t="s">
        <v>71</v>
      </c>
      <c r="U9" s="51">
        <v>60176.0</v>
      </c>
      <c r="V9" s="47"/>
      <c r="W9" s="46" t="s">
        <v>71</v>
      </c>
      <c r="X9" s="51">
        <v>34874.0</v>
      </c>
      <c r="Y9" s="43"/>
      <c r="Z9" s="34" t="s">
        <v>71</v>
      </c>
      <c r="AA9" s="56">
        <v>252.0</v>
      </c>
      <c r="AB9" s="43"/>
      <c r="AC9" s="34" t="s">
        <v>71</v>
      </c>
      <c r="AD9" s="58">
        <v>2165.0</v>
      </c>
      <c r="AE9" s="43"/>
      <c r="AF9" s="34" t="s">
        <v>71</v>
      </c>
      <c r="AG9" s="58">
        <v>572.0</v>
      </c>
      <c r="AH9" s="6"/>
      <c r="AI9" s="34" t="s">
        <v>71</v>
      </c>
      <c r="AJ9" s="58">
        <v>346.0</v>
      </c>
    </row>
    <row r="10">
      <c r="A10" s="46" t="s">
        <v>73</v>
      </c>
      <c r="B10" s="51">
        <v>10470.0</v>
      </c>
      <c r="C10" s="5"/>
      <c r="D10" s="46" t="s">
        <v>73</v>
      </c>
      <c r="E10" s="51">
        <v>2415.6</v>
      </c>
      <c r="F10" s="37"/>
      <c r="G10" s="47"/>
      <c r="H10" s="46" t="s">
        <v>73</v>
      </c>
      <c r="I10" s="51">
        <v>95.5</v>
      </c>
      <c r="J10" s="5"/>
      <c r="K10" s="46" t="s">
        <v>73</v>
      </c>
      <c r="L10" s="51">
        <v>1940.3</v>
      </c>
      <c r="M10" s="47"/>
      <c r="N10" s="46" t="s">
        <v>73</v>
      </c>
      <c r="O10" s="51">
        <v>10817.0</v>
      </c>
      <c r="P10" s="47"/>
      <c r="Q10" s="46" t="s">
        <v>73</v>
      </c>
      <c r="R10" s="51">
        <v>7769.0</v>
      </c>
      <c r="S10" s="5"/>
      <c r="T10" s="46" t="s">
        <v>73</v>
      </c>
      <c r="U10" s="51">
        <v>31083.0</v>
      </c>
      <c r="V10" s="47"/>
      <c r="W10" s="46" t="s">
        <v>73</v>
      </c>
      <c r="X10" s="51">
        <v>27867.0</v>
      </c>
      <c r="Y10" s="43"/>
      <c r="Z10" s="34" t="s">
        <v>73</v>
      </c>
      <c r="AA10" s="56">
        <v>128.0</v>
      </c>
      <c r="AB10" s="43"/>
      <c r="AC10" s="34" t="s">
        <v>73</v>
      </c>
      <c r="AD10" s="58">
        <v>500.0</v>
      </c>
      <c r="AE10" s="43"/>
      <c r="AF10" s="34" t="s">
        <v>73</v>
      </c>
      <c r="AG10" s="58">
        <v>277.0</v>
      </c>
      <c r="AH10" s="6"/>
      <c r="AI10" s="34" t="s">
        <v>73</v>
      </c>
      <c r="AJ10" s="58">
        <v>154.0</v>
      </c>
    </row>
    <row r="11">
      <c r="A11" s="46" t="s">
        <v>75</v>
      </c>
      <c r="B11" s="51">
        <v>7223.0</v>
      </c>
      <c r="C11" s="5"/>
      <c r="D11" s="46" t="s">
        <v>75</v>
      </c>
      <c r="E11" s="51">
        <v>1962.7</v>
      </c>
      <c r="F11" s="37"/>
      <c r="G11" s="47"/>
      <c r="H11" s="46" t="s">
        <v>75</v>
      </c>
      <c r="I11" s="51">
        <v>25.0</v>
      </c>
      <c r="J11" s="5"/>
      <c r="K11" s="46" t="s">
        <v>75</v>
      </c>
      <c r="L11" s="51">
        <v>1759.6</v>
      </c>
      <c r="M11" s="47"/>
      <c r="N11" s="46" t="s">
        <v>75</v>
      </c>
      <c r="O11" s="51">
        <v>7498.0</v>
      </c>
      <c r="P11" s="47"/>
      <c r="Q11" s="46" t="s">
        <v>75</v>
      </c>
      <c r="R11" s="51">
        <v>5556.0</v>
      </c>
      <c r="S11" s="5"/>
      <c r="T11" s="46" t="s">
        <v>75</v>
      </c>
      <c r="U11" s="51">
        <v>23814.0</v>
      </c>
      <c r="V11" s="47"/>
      <c r="W11" s="46" t="s">
        <v>75</v>
      </c>
      <c r="X11" s="51">
        <v>19351.0</v>
      </c>
      <c r="Y11" s="43"/>
      <c r="Z11" s="34" t="s">
        <v>75</v>
      </c>
      <c r="AA11" s="56">
        <v>85.0</v>
      </c>
      <c r="AB11" s="43"/>
      <c r="AC11" s="34" t="s">
        <v>75</v>
      </c>
      <c r="AD11" s="58">
        <v>399.0</v>
      </c>
      <c r="AE11" s="43"/>
      <c r="AF11" s="34" t="s">
        <v>75</v>
      </c>
      <c r="AG11" s="58">
        <v>183.0</v>
      </c>
      <c r="AH11" s="6"/>
      <c r="AI11" s="34" t="s">
        <v>75</v>
      </c>
      <c r="AJ11" s="58">
        <v>106.0</v>
      </c>
    </row>
    <row r="12">
      <c r="A12" s="46" t="s">
        <v>77</v>
      </c>
      <c r="B12" s="51">
        <v>7900.0</v>
      </c>
      <c r="C12" s="5"/>
      <c r="D12" s="46" t="s">
        <v>77</v>
      </c>
      <c r="E12" s="51">
        <v>1662.6</v>
      </c>
      <c r="F12" s="37"/>
      <c r="G12" s="47"/>
      <c r="H12" s="46" t="s">
        <v>77</v>
      </c>
      <c r="I12" s="51">
        <v>155.2</v>
      </c>
      <c r="J12" s="5"/>
      <c r="K12" s="46" t="s">
        <v>77</v>
      </c>
      <c r="L12" s="51">
        <v>865.6</v>
      </c>
      <c r="M12" s="47"/>
      <c r="N12" s="46" t="s">
        <v>77</v>
      </c>
      <c r="O12" s="51">
        <v>9348.0</v>
      </c>
      <c r="P12" s="47"/>
      <c r="Q12" s="46" t="s">
        <v>77</v>
      </c>
      <c r="R12" s="51">
        <v>6447.0</v>
      </c>
      <c r="S12" s="5"/>
      <c r="T12" s="46" t="s">
        <v>77</v>
      </c>
      <c r="U12" s="51">
        <v>24642.0</v>
      </c>
      <c r="V12" s="47"/>
      <c r="W12" s="46" t="s">
        <v>77</v>
      </c>
      <c r="X12" s="51">
        <v>18638.0</v>
      </c>
      <c r="Y12" s="43"/>
      <c r="Z12" s="34" t="s">
        <v>77</v>
      </c>
      <c r="AA12" s="93">
        <v>116.0</v>
      </c>
      <c r="AB12" s="43"/>
      <c r="AC12" s="34" t="s">
        <v>77</v>
      </c>
      <c r="AD12" s="58">
        <v>390.0</v>
      </c>
      <c r="AE12" s="43"/>
      <c r="AF12" s="34" t="s">
        <v>77</v>
      </c>
      <c r="AG12" s="58">
        <v>201.0</v>
      </c>
      <c r="AH12" s="6"/>
      <c r="AI12" s="34" t="s">
        <v>77</v>
      </c>
      <c r="AJ12" s="58">
        <v>78.0</v>
      </c>
    </row>
    <row r="13">
      <c r="A13" s="77" t="s">
        <v>79</v>
      </c>
      <c r="B13" s="78">
        <v>5059.0</v>
      </c>
      <c r="C13" s="5"/>
      <c r="D13" s="77" t="s">
        <v>79</v>
      </c>
      <c r="E13" s="78">
        <v>749.6</v>
      </c>
      <c r="F13" s="37"/>
      <c r="G13" s="47"/>
      <c r="H13" s="77" t="s">
        <v>79</v>
      </c>
      <c r="I13" s="78">
        <v>77.7</v>
      </c>
      <c r="J13" s="5"/>
      <c r="K13" s="77" t="s">
        <v>79</v>
      </c>
      <c r="L13" s="78">
        <v>642.8</v>
      </c>
      <c r="M13" s="47"/>
      <c r="N13" s="77" t="s">
        <v>79</v>
      </c>
      <c r="O13" s="78">
        <v>6927.0</v>
      </c>
      <c r="P13" s="47"/>
      <c r="Q13" s="77" t="s">
        <v>79</v>
      </c>
      <c r="R13" s="78">
        <v>5781.0</v>
      </c>
      <c r="S13" s="5"/>
      <c r="T13" s="77" t="s">
        <v>79</v>
      </c>
      <c r="U13" s="78">
        <v>18248.0</v>
      </c>
      <c r="V13" s="47"/>
      <c r="W13" s="77" t="s">
        <v>79</v>
      </c>
      <c r="X13" s="78">
        <v>22062.0</v>
      </c>
      <c r="Y13" s="43"/>
      <c r="Z13" s="96" t="s">
        <v>79</v>
      </c>
      <c r="AA13" s="93">
        <v>55.0</v>
      </c>
      <c r="AB13" s="43"/>
      <c r="AC13" s="96" t="s">
        <v>79</v>
      </c>
      <c r="AD13" s="58">
        <v>217.0</v>
      </c>
      <c r="AE13" s="43"/>
      <c r="AF13" s="96" t="s">
        <v>79</v>
      </c>
      <c r="AG13" s="58">
        <v>185.0</v>
      </c>
      <c r="AH13" s="6"/>
      <c r="AI13" s="96" t="s">
        <v>79</v>
      </c>
      <c r="AJ13" s="58">
        <v>63.0</v>
      </c>
    </row>
    <row r="14">
      <c r="A14" s="6"/>
      <c r="B14" s="6"/>
      <c r="C14" s="5"/>
      <c r="D14" s="6"/>
      <c r="E14" s="6"/>
      <c r="F14" s="37"/>
      <c r="G14" s="5"/>
      <c r="H14" s="6"/>
      <c r="I14" s="6"/>
      <c r="J14" s="5"/>
      <c r="K14" s="6"/>
      <c r="L14" s="6"/>
      <c r="M14" s="5"/>
      <c r="N14" s="6"/>
      <c r="O14" s="6"/>
      <c r="P14" s="5"/>
      <c r="Q14" s="6"/>
      <c r="R14" s="6"/>
      <c r="S14" s="5"/>
      <c r="T14" s="6"/>
      <c r="U14" s="6"/>
      <c r="V14" s="5"/>
      <c r="W14" s="6" t="s">
        <v>97</v>
      </c>
      <c r="X14" s="6"/>
      <c r="Y14" s="6"/>
      <c r="Z14" s="6"/>
      <c r="AA14" s="6" t="s">
        <v>98</v>
      </c>
      <c r="AB14" s="6"/>
      <c r="AC14" s="6"/>
      <c r="AD14" s="6"/>
      <c r="AE14" s="6"/>
      <c r="AF14" s="6"/>
      <c r="AG14" s="6"/>
      <c r="AH14" s="6"/>
      <c r="AI14" s="6"/>
      <c r="AJ14" s="6"/>
    </row>
    <row r="15">
      <c r="A15" s="6"/>
      <c r="B15" s="98" t="str">
        <f>B2</f>
        <v>ABT US</v>
      </c>
      <c r="C15" s="36"/>
      <c r="D15" s="6"/>
      <c r="E15" s="98" t="str">
        <f>E2</f>
        <v>ISRG US</v>
      </c>
      <c r="F15" s="37"/>
      <c r="G15" s="37"/>
      <c r="H15" s="6" t="s">
        <v>3</v>
      </c>
      <c r="I15" s="98" t="str">
        <f>I2</f>
        <v>RGEN US</v>
      </c>
      <c r="J15" s="36"/>
      <c r="K15" s="6"/>
      <c r="L15" s="98" t="str">
        <f>L2</f>
        <v>EW US</v>
      </c>
      <c r="M15" s="37"/>
      <c r="N15" s="6" t="s">
        <v>3</v>
      </c>
      <c r="O15" s="98" t="str">
        <f>O2</f>
        <v>TMO US</v>
      </c>
      <c r="P15" s="37"/>
      <c r="Q15" s="6" t="s">
        <v>3</v>
      </c>
      <c r="R15" s="98" t="str">
        <f>R2</f>
        <v>DHR US</v>
      </c>
      <c r="S15" s="36"/>
      <c r="T15" s="6"/>
      <c r="U15" s="98" t="str">
        <f>U2</f>
        <v>JNJ US</v>
      </c>
      <c r="V15" s="37"/>
      <c r="W15" s="6" t="s">
        <v>3</v>
      </c>
      <c r="X15" s="98" t="str">
        <f>X2</f>
        <v>ABBV US</v>
      </c>
      <c r="Y15" s="41"/>
      <c r="Z15" s="6"/>
      <c r="AA15" s="98" t="str">
        <f>AA2</f>
        <v>6504 JP</v>
      </c>
      <c r="AB15" s="43"/>
      <c r="AC15" s="6"/>
      <c r="AD15" s="98" t="str">
        <f>AD2</f>
        <v>GF SW</v>
      </c>
      <c r="AE15" s="43"/>
      <c r="AF15" s="6"/>
      <c r="AG15" s="98" t="str">
        <f>AG2</f>
        <v>ZWS US</v>
      </c>
      <c r="AH15" s="6"/>
      <c r="AI15" s="6"/>
      <c r="AJ15" s="98" t="str">
        <f>AJ2</f>
        <v>CMCO</v>
      </c>
    </row>
    <row r="16">
      <c r="A16" s="6"/>
      <c r="B16" s="6"/>
      <c r="C16" s="5"/>
      <c r="D16" s="6"/>
      <c r="E16" s="6"/>
      <c r="F16" s="37"/>
      <c r="G16" s="5"/>
      <c r="H16" s="6"/>
      <c r="I16" s="6"/>
      <c r="J16" s="5"/>
      <c r="K16" s="6"/>
      <c r="L16" s="6"/>
      <c r="M16" s="5"/>
      <c r="N16" s="6"/>
      <c r="O16" s="6"/>
      <c r="P16" s="5"/>
      <c r="Q16" s="6"/>
      <c r="R16" s="6"/>
      <c r="S16" s="5"/>
      <c r="T16" s="6"/>
      <c r="U16" s="6"/>
      <c r="V16" s="5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>
      <c r="A17" s="100" t="s">
        <v>99</v>
      </c>
      <c r="B17" s="101">
        <f>DATEDIF(B8,B6,"m")</f>
        <v>18</v>
      </c>
      <c r="C17" s="5"/>
      <c r="D17" s="100" t="s">
        <v>99</v>
      </c>
      <c r="E17" s="101">
        <f>DATEDIF(E8,E6,"m")</f>
        <v>18</v>
      </c>
      <c r="F17" s="37"/>
      <c r="G17" s="102"/>
      <c r="H17" s="100" t="s">
        <v>99</v>
      </c>
      <c r="I17" s="101">
        <f>DATEDIF(I8,I6,"m")</f>
        <v>18</v>
      </c>
      <c r="J17" s="102"/>
      <c r="K17" s="100" t="s">
        <v>99</v>
      </c>
      <c r="L17" s="101">
        <f>DATEDIF(L8,L6,"m")</f>
        <v>16</v>
      </c>
      <c r="M17" s="102"/>
      <c r="N17" s="100" t="s">
        <v>99</v>
      </c>
      <c r="O17" s="101">
        <f>DATEDIF(O8,O6,"m")</f>
        <v>18</v>
      </c>
      <c r="P17" s="102"/>
      <c r="Q17" s="100" t="s">
        <v>99</v>
      </c>
      <c r="R17" s="101">
        <f>DATEDIF(R8,R6,"m")</f>
        <v>18</v>
      </c>
      <c r="S17" s="102"/>
      <c r="T17" s="100" t="s">
        <v>99</v>
      </c>
      <c r="U17" s="101">
        <f>DATEDIF(U8,U6,"m")</f>
        <v>18</v>
      </c>
      <c r="V17" s="102"/>
      <c r="W17" s="100" t="s">
        <v>99</v>
      </c>
      <c r="X17" s="101">
        <f>DATEDIF(X8,X6,"m")</f>
        <v>18</v>
      </c>
      <c r="Y17" s="103"/>
      <c r="Z17" s="103" t="s">
        <v>99</v>
      </c>
      <c r="AA17" s="104">
        <f>DATEDIF(AA8,AA6,"m")</f>
        <v>24</v>
      </c>
      <c r="AB17" s="6"/>
      <c r="AC17" s="103" t="s">
        <v>99</v>
      </c>
      <c r="AD17" s="104">
        <f>DATEDIF(AD8,AD6,"m")</f>
        <v>33</v>
      </c>
      <c r="AE17" s="6"/>
      <c r="AF17" s="103" t="s">
        <v>99</v>
      </c>
      <c r="AG17" s="104">
        <f>DATEDIF(AG8,AG6,"m")</f>
        <v>18</v>
      </c>
      <c r="AH17" s="6"/>
      <c r="AI17" s="103" t="s">
        <v>99</v>
      </c>
      <c r="AJ17" s="104">
        <f>DATEDIF(AJ8,AJ6,"m")</f>
        <v>21</v>
      </c>
    </row>
    <row r="18">
      <c r="A18" s="105" t="s">
        <v>100</v>
      </c>
      <c r="B18" s="99">
        <f>B17/12</f>
        <v>1.5</v>
      </c>
      <c r="C18" s="5"/>
      <c r="D18" s="105" t="s">
        <v>100</v>
      </c>
      <c r="E18" s="99">
        <f>E17/12</f>
        <v>1.5</v>
      </c>
      <c r="F18" s="37"/>
      <c r="G18" s="5"/>
      <c r="H18" s="105" t="s">
        <v>100</v>
      </c>
      <c r="I18" s="99">
        <f>I17/12</f>
        <v>1.5</v>
      </c>
      <c r="J18" s="5"/>
      <c r="K18" s="105" t="s">
        <v>100</v>
      </c>
      <c r="L18" s="99">
        <f>L17/12</f>
        <v>1.333333333</v>
      </c>
      <c r="M18" s="5"/>
      <c r="N18" s="105" t="s">
        <v>100</v>
      </c>
      <c r="O18" s="99">
        <f>O17/12</f>
        <v>1.5</v>
      </c>
      <c r="P18" s="5"/>
      <c r="Q18" s="105" t="s">
        <v>100</v>
      </c>
      <c r="R18" s="99">
        <f>R17/12</f>
        <v>1.5</v>
      </c>
      <c r="S18" s="5"/>
      <c r="T18" s="105" t="s">
        <v>100</v>
      </c>
      <c r="U18" s="99">
        <f>U17/12</f>
        <v>1.5</v>
      </c>
      <c r="V18" s="5"/>
      <c r="W18" s="105" t="s">
        <v>100</v>
      </c>
      <c r="X18" s="99">
        <f>X17/12</f>
        <v>1.5</v>
      </c>
      <c r="Y18" s="107"/>
      <c r="Z18" s="107" t="s">
        <v>100</v>
      </c>
      <c r="AA18" s="108">
        <f>AA17/12</f>
        <v>2</v>
      </c>
      <c r="AB18" s="6"/>
      <c r="AC18" s="107" t="s">
        <v>100</v>
      </c>
      <c r="AD18" s="109">
        <f>AD17/12</f>
        <v>2.75</v>
      </c>
      <c r="AE18" s="6"/>
      <c r="AF18" s="107" t="s">
        <v>100</v>
      </c>
      <c r="AG18" s="109">
        <f>AG17/12</f>
        <v>1.5</v>
      </c>
      <c r="AH18" s="6"/>
      <c r="AI18" s="107" t="s">
        <v>100</v>
      </c>
      <c r="AJ18" s="109">
        <f>AJ17/12</f>
        <v>1.75</v>
      </c>
    </row>
    <row r="19">
      <c r="A19" s="6"/>
      <c r="B19" s="6"/>
      <c r="C19" s="5"/>
      <c r="D19" s="6"/>
      <c r="E19" s="6"/>
      <c r="F19" s="37"/>
      <c r="G19" s="5"/>
      <c r="H19" s="6"/>
      <c r="I19" s="6"/>
      <c r="J19" s="5"/>
      <c r="K19" s="6"/>
      <c r="L19" s="6"/>
      <c r="M19" s="5"/>
      <c r="N19" s="6"/>
      <c r="O19" s="6"/>
      <c r="P19" s="5"/>
      <c r="Q19" s="6"/>
      <c r="R19" s="6"/>
      <c r="S19" s="5"/>
      <c r="T19" s="6"/>
      <c r="U19" s="6"/>
      <c r="V19" s="5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>
      <c r="A20" s="6"/>
      <c r="B20" s="98" t="str">
        <f>B2</f>
        <v>ABT US</v>
      </c>
      <c r="C20" s="36"/>
      <c r="D20" s="6"/>
      <c r="E20" s="98" t="str">
        <f>E2</f>
        <v>ISRG US</v>
      </c>
      <c r="F20" s="37"/>
      <c r="G20" s="37"/>
      <c r="H20" s="6" t="s">
        <v>3</v>
      </c>
      <c r="I20" s="98" t="str">
        <f>I2</f>
        <v>RGEN US</v>
      </c>
      <c r="J20" s="36"/>
      <c r="K20" s="6"/>
      <c r="L20" s="98" t="str">
        <f>L2</f>
        <v>EW US</v>
      </c>
      <c r="M20" s="37"/>
      <c r="N20" s="6" t="s">
        <v>3</v>
      </c>
      <c r="O20" s="98" t="str">
        <f>O2</f>
        <v>TMO US</v>
      </c>
      <c r="P20" s="37"/>
      <c r="Q20" s="6" t="s">
        <v>3</v>
      </c>
      <c r="R20" s="98" t="str">
        <f>R2</f>
        <v>DHR US</v>
      </c>
      <c r="S20" s="36"/>
      <c r="T20" s="6"/>
      <c r="U20" s="98" t="str">
        <f>U2</f>
        <v>JNJ US</v>
      </c>
      <c r="V20" s="37"/>
      <c r="W20" s="6" t="s">
        <v>3</v>
      </c>
      <c r="X20" s="98" t="str">
        <f>X2</f>
        <v>ABBV US</v>
      </c>
      <c r="Y20" s="41"/>
      <c r="Z20" s="6"/>
      <c r="AA20" s="98" t="str">
        <f>AA2</f>
        <v>6504 JP</v>
      </c>
      <c r="AB20" s="6"/>
      <c r="AC20" s="6"/>
      <c r="AD20" s="98" t="str">
        <f>AD2</f>
        <v>GF SW</v>
      </c>
      <c r="AE20" s="6"/>
      <c r="AF20" s="6"/>
      <c r="AG20" s="98" t="str">
        <f>AG2</f>
        <v>ZWS US</v>
      </c>
      <c r="AH20" s="6"/>
      <c r="AI20" s="6"/>
      <c r="AJ20" s="98" t="str">
        <f>AJ2</f>
        <v>CMCO</v>
      </c>
    </row>
    <row r="21" ht="15.75" customHeight="1">
      <c r="A21" s="114" t="s">
        <v>5</v>
      </c>
      <c r="B21" s="115"/>
      <c r="C21" s="5"/>
      <c r="D21" s="114" t="s">
        <v>5</v>
      </c>
      <c r="E21" s="115" t="s">
        <v>3</v>
      </c>
      <c r="F21" s="37"/>
      <c r="G21" s="5"/>
      <c r="H21" s="114" t="s">
        <v>5</v>
      </c>
      <c r="I21" s="115"/>
      <c r="J21" s="5"/>
      <c r="K21" s="114" t="s">
        <v>5</v>
      </c>
      <c r="L21" s="115"/>
      <c r="M21" s="5"/>
      <c r="N21" s="114" t="s">
        <v>5</v>
      </c>
      <c r="O21" s="115"/>
      <c r="P21" s="5"/>
      <c r="Q21" s="114" t="s">
        <v>5</v>
      </c>
      <c r="R21" s="115"/>
      <c r="S21" s="5"/>
      <c r="T21" s="114" t="s">
        <v>5</v>
      </c>
      <c r="U21" s="115"/>
      <c r="V21" s="5"/>
      <c r="W21" s="114" t="s">
        <v>5</v>
      </c>
      <c r="X21" s="115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ht="15.75" customHeight="1">
      <c r="A22" s="100" t="s">
        <v>26</v>
      </c>
      <c r="B22" s="116">
        <f>RATE(B18,0,(B7*(-1)),B5)</f>
        <v>0.099577655</v>
      </c>
      <c r="C22" s="5"/>
      <c r="D22" s="100" t="s">
        <v>26</v>
      </c>
      <c r="E22" s="116">
        <f>RATE(E18,0,(E7*(-1)),E5)</f>
        <v>0.238481347</v>
      </c>
      <c r="F22" s="37"/>
      <c r="G22" s="102"/>
      <c r="H22" s="100" t="s">
        <v>26</v>
      </c>
      <c r="I22" s="116">
        <f>RATE(I18,0,(I7*(-1)),I5)</f>
        <v>0.172310757</v>
      </c>
      <c r="J22" s="102"/>
      <c r="K22" s="100" t="s">
        <v>26</v>
      </c>
      <c r="L22" s="116">
        <f>RATE(L18,0,(L7*(-1)),L5)</f>
        <v>0.04917404277</v>
      </c>
      <c r="M22" s="102"/>
      <c r="N22" s="100" t="s">
        <v>26</v>
      </c>
      <c r="O22" s="116">
        <f>RATE(O18,0,(O7*(-1)),O5)</f>
        <v>0.07394249835</v>
      </c>
      <c r="P22" s="102"/>
      <c r="Q22" s="100" t="s">
        <v>26</v>
      </c>
      <c r="R22" s="116">
        <f>RATE(R18,0,(R7*(-1)),R5)</f>
        <v>0.041374864</v>
      </c>
      <c r="S22" s="102"/>
      <c r="T22" s="100" t="s">
        <v>26</v>
      </c>
      <c r="U22" s="116">
        <f>RATE(U18,0,(U7*(-1)),U5)</f>
        <v>0.05289225651</v>
      </c>
      <c r="V22" s="102"/>
      <c r="W22" s="100" t="s">
        <v>26</v>
      </c>
      <c r="X22" s="116">
        <f>RATE(X18,0,(X7*(-1)),X5)</f>
        <v>0.06663636364</v>
      </c>
      <c r="Y22" s="117"/>
      <c r="Z22" s="118" t="s">
        <v>26</v>
      </c>
      <c r="AA22" s="119">
        <f>RATE(AA18,0,(AA7*(-1)),AA5)</f>
        <v>0.0339652261</v>
      </c>
      <c r="AB22" s="6"/>
      <c r="AC22" s="118" t="s">
        <v>26</v>
      </c>
      <c r="AD22" s="119">
        <f>RATE(AD18,0,(AD7*(-1)),AD5)</f>
        <v>0.05479275846</v>
      </c>
      <c r="AE22" s="6"/>
      <c r="AF22" s="118" t="s">
        <v>26</v>
      </c>
      <c r="AG22" s="119">
        <f>RATE(AG18,0,(AG7*(-1)),AG5)</f>
        <v>0.04109589041</v>
      </c>
      <c r="AH22" s="6"/>
      <c r="AI22" s="118" t="s">
        <v>26</v>
      </c>
      <c r="AJ22" s="119">
        <f>RATE(AJ18,0,(AJ7*(-1)),AJ5)</f>
        <v>0.1135646688</v>
      </c>
    </row>
    <row r="23" ht="15.75" customHeight="1">
      <c r="A23" s="105" t="s">
        <v>30</v>
      </c>
      <c r="B23" s="30">
        <f>B9/B7</f>
        <v>0.5564640884</v>
      </c>
      <c r="C23" s="5"/>
      <c r="D23" s="105" t="s">
        <v>30</v>
      </c>
      <c r="E23" s="30">
        <f>E9/E7</f>
        <v>0.6685638825</v>
      </c>
      <c r="F23" s="37"/>
      <c r="G23" s="5"/>
      <c r="H23" s="105" t="s">
        <v>30</v>
      </c>
      <c r="I23" s="30">
        <f>I9/I7</f>
        <v>0.4656374502</v>
      </c>
      <c r="J23" s="5"/>
      <c r="K23" s="105" t="s">
        <v>30</v>
      </c>
      <c r="L23" s="30">
        <f>L9/L7</f>
        <v>0.7702655398</v>
      </c>
      <c r="M23" s="5"/>
      <c r="N23" s="105" t="s">
        <v>30</v>
      </c>
      <c r="O23" s="30">
        <f>O9/O7</f>
        <v>0.4111037673</v>
      </c>
      <c r="P23" s="5"/>
      <c r="Q23" s="105" t="s">
        <v>30</v>
      </c>
      <c r="R23" s="30">
        <f>R9/R7</f>
        <v>0.5924164887</v>
      </c>
      <c r="S23" s="5"/>
      <c r="T23" s="105" t="s">
        <v>30</v>
      </c>
      <c r="U23" s="30">
        <f>U9/U7</f>
        <v>0.6950656071</v>
      </c>
      <c r="V23" s="5"/>
      <c r="W23" s="105" t="s">
        <v>30</v>
      </c>
      <c r="X23" s="30">
        <f>X9/X7</f>
        <v>0.6340727273</v>
      </c>
      <c r="Y23" s="120"/>
      <c r="Z23" s="120" t="s">
        <v>30</v>
      </c>
      <c r="AA23" s="121">
        <f>AA9/AA7</f>
        <v>0.2625820569</v>
      </c>
      <c r="AB23" s="6"/>
      <c r="AC23" s="120" t="s">
        <v>30</v>
      </c>
      <c r="AD23" s="121">
        <f>AD9/AD7</f>
        <v>0.5428786359</v>
      </c>
      <c r="AE23" s="6"/>
      <c r="AF23" s="120" t="s">
        <v>30</v>
      </c>
      <c r="AG23" s="121">
        <f>AG9/AG7</f>
        <v>0.3731245923</v>
      </c>
      <c r="AH23" s="6"/>
      <c r="AI23" s="120" t="s">
        <v>30</v>
      </c>
      <c r="AJ23" s="121">
        <f>AJ9/AJ7</f>
        <v>0.3638275499</v>
      </c>
    </row>
    <row r="24" ht="15.75" customHeight="1">
      <c r="A24" s="105" t="s">
        <v>37</v>
      </c>
      <c r="B24" s="30">
        <f>B10/B7</f>
        <v>0.2570902394</v>
      </c>
      <c r="C24" s="5"/>
      <c r="D24" s="105" t="s">
        <v>37</v>
      </c>
      <c r="E24" s="30">
        <f>E10/E7</f>
        <v>0.3189963684</v>
      </c>
      <c r="F24" s="37"/>
      <c r="G24" s="5"/>
      <c r="H24" s="105" t="s">
        <v>37</v>
      </c>
      <c r="I24" s="30">
        <f>I10/I7</f>
        <v>0.1585325365</v>
      </c>
      <c r="J24" s="5"/>
      <c r="K24" s="105" t="s">
        <v>37</v>
      </c>
      <c r="L24" s="30">
        <f>L10/L7</f>
        <v>0.3234318481</v>
      </c>
      <c r="M24" s="5"/>
      <c r="N24" s="105" t="s">
        <v>37</v>
      </c>
      <c r="O24" s="30">
        <f>O10/O7</f>
        <v>0.2553347182</v>
      </c>
      <c r="P24" s="5"/>
      <c r="Q24" s="105" t="s">
        <v>37</v>
      </c>
      <c r="R24" s="30">
        <f>R10/R7</f>
        <v>0.3130515373</v>
      </c>
      <c r="S24" s="5"/>
      <c r="T24" s="105" t="s">
        <v>37</v>
      </c>
      <c r="U24" s="30">
        <f>U10/U7</f>
        <v>0.359025596</v>
      </c>
      <c r="V24" s="5"/>
      <c r="W24" s="105" t="s">
        <v>37</v>
      </c>
      <c r="X24" s="30">
        <f>X10/X7</f>
        <v>0.5066727273</v>
      </c>
      <c r="Y24" s="120"/>
      <c r="Z24" s="120" t="s">
        <v>37</v>
      </c>
      <c r="AA24" s="121">
        <f>AA10/AA7</f>
        <v>0.133375013</v>
      </c>
      <c r="AB24" s="6"/>
      <c r="AC24" s="120" t="s">
        <v>37</v>
      </c>
      <c r="AD24" s="121">
        <f>AD10/AD7</f>
        <v>0.1253761284</v>
      </c>
      <c r="AE24" s="6"/>
      <c r="AF24" s="120" t="s">
        <v>37</v>
      </c>
      <c r="AG24" s="121">
        <f>AG10/AG7</f>
        <v>0.1806914547</v>
      </c>
      <c r="AH24" s="6"/>
      <c r="AI24" s="120" t="s">
        <v>37</v>
      </c>
      <c r="AJ24" s="121">
        <f>AJ10/AJ7</f>
        <v>0.1619348055</v>
      </c>
    </row>
    <row r="25" ht="15.75" customHeight="1">
      <c r="A25" s="105" t="s">
        <v>45</v>
      </c>
      <c r="B25" s="30">
        <f>B11/B7</f>
        <v>0.1773603438</v>
      </c>
      <c r="C25" s="5"/>
      <c r="D25" s="105" t="s">
        <v>45</v>
      </c>
      <c r="E25" s="30">
        <f>E11/E7</f>
        <v>0.2591878508</v>
      </c>
      <c r="F25" s="37"/>
      <c r="G25" s="5"/>
      <c r="H25" s="105" t="s">
        <v>45</v>
      </c>
      <c r="I25" s="30">
        <f>I11/I7</f>
        <v>0.04150066401</v>
      </c>
      <c r="J25" s="5"/>
      <c r="K25" s="105" t="s">
        <v>45</v>
      </c>
      <c r="L25" s="30">
        <f>L11/L7</f>
        <v>0.2933106633</v>
      </c>
      <c r="M25" s="5"/>
      <c r="N25" s="105" t="s">
        <v>45</v>
      </c>
      <c r="O25" s="30">
        <f>O11/O7</f>
        <v>0.1769898971</v>
      </c>
      <c r="P25" s="5"/>
      <c r="Q25" s="105" t="s">
        <v>45</v>
      </c>
      <c r="R25" s="30">
        <f>R11/R7</f>
        <v>0.2238787928</v>
      </c>
      <c r="S25" s="5"/>
      <c r="T25" s="105" t="s">
        <v>45</v>
      </c>
      <c r="U25" s="30">
        <f>U11/U7</f>
        <v>0.2750646831</v>
      </c>
      <c r="V25" s="5"/>
      <c r="W25" s="105" t="s">
        <v>45</v>
      </c>
      <c r="X25" s="30">
        <f>X11/X7</f>
        <v>0.3518363636</v>
      </c>
      <c r="Y25" s="120"/>
      <c r="Z25" s="120" t="s">
        <v>45</v>
      </c>
      <c r="AA25" s="121">
        <f>AA11/AA7</f>
        <v>0.08856934459</v>
      </c>
      <c r="AB25" s="6"/>
      <c r="AC25" s="120" t="s">
        <v>45</v>
      </c>
      <c r="AD25" s="121">
        <f>AD11/AD7</f>
        <v>0.1000501505</v>
      </c>
      <c r="AE25" s="6"/>
      <c r="AF25" s="120" t="s">
        <v>45</v>
      </c>
      <c r="AG25" s="121">
        <f>AG11/AG7</f>
        <v>0.1193737769</v>
      </c>
      <c r="AH25" s="6"/>
      <c r="AI25" s="120" t="s">
        <v>45</v>
      </c>
      <c r="AJ25" s="121">
        <f>AJ11/AJ7</f>
        <v>0.1114616193</v>
      </c>
    </row>
    <row r="26" ht="15.75" customHeight="1">
      <c r="A26" s="105" t="s">
        <v>53</v>
      </c>
      <c r="B26" s="30">
        <f>B12/B7</f>
        <v>0.1939840393</v>
      </c>
      <c r="C26" s="5"/>
      <c r="D26" s="105" t="s">
        <v>53</v>
      </c>
      <c r="E26" s="30">
        <f>E12/E7</f>
        <v>0.2195576098</v>
      </c>
      <c r="F26" s="37"/>
      <c r="G26" s="5"/>
      <c r="H26" s="105" t="s">
        <v>53</v>
      </c>
      <c r="I26" s="30">
        <f>I12/I7</f>
        <v>0.2576361222</v>
      </c>
      <c r="J26" s="5"/>
      <c r="K26" s="105" t="s">
        <v>53</v>
      </c>
      <c r="L26" s="30">
        <f>L12/L7</f>
        <v>0.1442883099</v>
      </c>
      <c r="M26" s="5"/>
      <c r="N26" s="105" t="s">
        <v>53</v>
      </c>
      <c r="O26" s="30">
        <f>O12/O7</f>
        <v>0.2206590501</v>
      </c>
      <c r="P26" s="5"/>
      <c r="Q26" s="105" t="s">
        <v>53</v>
      </c>
      <c r="R26" s="30">
        <f>R12/R7</f>
        <v>0.2597816013</v>
      </c>
      <c r="S26" s="5"/>
      <c r="T26" s="105" t="s">
        <v>53</v>
      </c>
      <c r="U26" s="30">
        <f>U12/U7</f>
        <v>0.2846285345</v>
      </c>
      <c r="V26" s="5"/>
      <c r="W26" s="105" t="s">
        <v>53</v>
      </c>
      <c r="X26" s="30">
        <f>X12/X7</f>
        <v>0.3388727273</v>
      </c>
      <c r="Y26" s="120"/>
      <c r="Z26" s="120" t="s">
        <v>53</v>
      </c>
      <c r="AA26" s="121">
        <f>AA12/AA7</f>
        <v>0.1208711056</v>
      </c>
      <c r="AB26" s="6"/>
      <c r="AC26" s="120" t="s">
        <v>53</v>
      </c>
      <c r="AD26" s="121">
        <f>AD12/AD7</f>
        <v>0.09779338014</v>
      </c>
      <c r="AE26" s="6"/>
      <c r="AF26" s="120" t="s">
        <v>53</v>
      </c>
      <c r="AG26" s="121">
        <f>AG12/AG7</f>
        <v>0.1311154599</v>
      </c>
      <c r="AH26" s="6"/>
      <c r="AI26" s="120" t="s">
        <v>53</v>
      </c>
      <c r="AJ26" s="121">
        <f>AJ12/AJ7</f>
        <v>0.08201892744</v>
      </c>
    </row>
    <row r="27" ht="15.75" customHeight="1">
      <c r="A27" s="123" t="s">
        <v>55</v>
      </c>
      <c r="B27" s="124">
        <f>B13/B7</f>
        <v>0.12422345</v>
      </c>
      <c r="C27" s="5"/>
      <c r="D27" s="123" t="s">
        <v>55</v>
      </c>
      <c r="E27" s="124">
        <f>E13/E7</f>
        <v>0.0989897656</v>
      </c>
      <c r="F27" s="37"/>
      <c r="G27" s="125"/>
      <c r="H27" s="123" t="s">
        <v>55</v>
      </c>
      <c r="I27" s="124">
        <f>I13/I7</f>
        <v>0.1289840637</v>
      </c>
      <c r="J27" s="125"/>
      <c r="K27" s="123" t="s">
        <v>55</v>
      </c>
      <c r="L27" s="124">
        <f>L13/L7</f>
        <v>0.1071494057</v>
      </c>
      <c r="M27" s="125"/>
      <c r="N27" s="123" t="s">
        <v>55</v>
      </c>
      <c r="O27" s="124">
        <f>O13/O7</f>
        <v>0.163511472</v>
      </c>
      <c r="P27" s="125"/>
      <c r="Q27" s="123" t="s">
        <v>55</v>
      </c>
      <c r="R27" s="124">
        <f>R13/R7</f>
        <v>0.2329451586</v>
      </c>
      <c r="S27" s="125"/>
      <c r="T27" s="123" t="s">
        <v>55</v>
      </c>
      <c r="U27" s="124">
        <f>U13/U7</f>
        <v>0.2107743485</v>
      </c>
      <c r="V27" s="125"/>
      <c r="W27" s="123" t="s">
        <v>55</v>
      </c>
      <c r="X27" s="124">
        <f>X13/X7</f>
        <v>0.4011272727</v>
      </c>
      <c r="Y27" s="126"/>
      <c r="Z27" s="126" t="s">
        <v>55</v>
      </c>
      <c r="AA27" s="127">
        <f>AA13/AA7</f>
        <v>0.05730957591</v>
      </c>
      <c r="AB27" s="6"/>
      <c r="AC27" s="126" t="s">
        <v>55</v>
      </c>
      <c r="AD27" s="127">
        <f>AD13/AD7</f>
        <v>0.05441323972</v>
      </c>
      <c r="AE27" s="6"/>
      <c r="AF27" s="126" t="s">
        <v>55</v>
      </c>
      <c r="AG27" s="127">
        <f>AG13/AG7</f>
        <v>0.1206784083</v>
      </c>
      <c r="AH27" s="6"/>
      <c r="AI27" s="126" t="s">
        <v>55</v>
      </c>
      <c r="AJ27" s="127">
        <f>AJ13/AJ7</f>
        <v>0.06624605678</v>
      </c>
    </row>
    <row r="28" ht="15.75" customHeight="1">
      <c r="C28" s="5"/>
      <c r="F28" s="37"/>
      <c r="G28" s="5"/>
      <c r="J28" s="5"/>
      <c r="M28" s="5"/>
      <c r="P28" s="5"/>
      <c r="S28" s="5"/>
      <c r="V28" s="5"/>
    </row>
    <row r="29" ht="15.75" customHeight="1">
      <c r="A29" s="128"/>
      <c r="C29" s="5"/>
      <c r="D29" s="128"/>
      <c r="E29" s="27"/>
      <c r="F29" s="37"/>
      <c r="G29" s="5"/>
      <c r="H29" s="128"/>
      <c r="I29" s="128" t="s">
        <v>3</v>
      </c>
      <c r="J29" s="5"/>
      <c r="M29" s="5"/>
      <c r="P29" s="5"/>
      <c r="S29" s="5"/>
      <c r="V29" s="5"/>
    </row>
    <row r="30" ht="15.75" customHeight="1">
      <c r="C30" s="5"/>
      <c r="E30" s="27"/>
      <c r="F30" s="37"/>
      <c r="G30" s="5"/>
      <c r="H30" s="128" t="s">
        <v>3</v>
      </c>
      <c r="J30" s="5"/>
      <c r="M30" s="5"/>
      <c r="P30" s="5"/>
      <c r="S30" s="5"/>
      <c r="V30" s="5"/>
      <c r="X30" s="64" t="s">
        <v>3</v>
      </c>
    </row>
    <row r="31" ht="15.75" customHeight="1">
      <c r="A31" s="128"/>
      <c r="C31" s="5"/>
      <c r="E31" s="27" t="s">
        <v>116</v>
      </c>
      <c r="F31" s="37"/>
      <c r="G31" s="5"/>
      <c r="J31" s="5"/>
      <c r="M31" s="5"/>
      <c r="P31" s="5"/>
      <c r="S31" s="5"/>
      <c r="V31" s="5"/>
    </row>
    <row r="32" ht="15.75" customHeight="1">
      <c r="C32" s="5"/>
      <c r="E32" s="27" t="s">
        <v>116</v>
      </c>
      <c r="F32" s="37"/>
      <c r="G32" s="5"/>
      <c r="J32" s="5"/>
      <c r="M32" s="5"/>
      <c r="P32" s="5"/>
      <c r="S32" s="5"/>
      <c r="V32" s="5"/>
    </row>
    <row r="33" ht="15.75" customHeight="1">
      <c r="C33" s="5"/>
      <c r="E33" s="27" t="s">
        <v>116</v>
      </c>
      <c r="F33" s="37"/>
      <c r="G33" s="5"/>
      <c r="J33" s="5"/>
      <c r="M33" s="5"/>
      <c r="P33" s="5"/>
      <c r="S33" s="5"/>
      <c r="V33" s="5"/>
    </row>
    <row r="34" ht="15.75" customHeight="1">
      <c r="C34" s="5"/>
      <c r="E34" s="27"/>
      <c r="F34" s="37"/>
      <c r="G34" s="5"/>
      <c r="J34" s="5"/>
      <c r="M34" s="5"/>
      <c r="P34" s="5"/>
      <c r="S34" s="5"/>
      <c r="V34" s="5"/>
    </row>
    <row r="35" ht="15.75" customHeight="1">
      <c r="C35" s="5"/>
      <c r="E35" s="27"/>
      <c r="F35" s="37"/>
      <c r="G35" s="5"/>
      <c r="J35" s="5"/>
      <c r="M35" s="5"/>
      <c r="P35" s="5"/>
      <c r="S35" s="5"/>
      <c r="V35" s="5"/>
    </row>
    <row r="36" ht="15.75" customHeight="1">
      <c r="C36" s="5"/>
      <c r="F36" s="37"/>
      <c r="G36" s="5"/>
      <c r="J36" s="5"/>
      <c r="M36" s="5"/>
      <c r="P36" s="5"/>
      <c r="S36" s="5"/>
      <c r="V36" s="5"/>
    </row>
    <row r="37" ht="15.75" customHeight="1">
      <c r="C37" s="5"/>
      <c r="F37" s="37"/>
      <c r="G37" s="5"/>
      <c r="J37" s="5"/>
      <c r="M37" s="5"/>
      <c r="P37" s="5"/>
      <c r="S37" s="5"/>
      <c r="V37" s="5"/>
    </row>
    <row r="38" ht="15.75" customHeight="1">
      <c r="C38" s="5"/>
      <c r="F38" s="37"/>
      <c r="G38" s="5"/>
      <c r="J38" s="5"/>
      <c r="M38" s="5"/>
      <c r="P38" s="5"/>
      <c r="S38" s="5"/>
      <c r="V38" s="5"/>
    </row>
    <row r="39" ht="15.75" customHeight="1">
      <c r="C39" s="5"/>
      <c r="F39" s="37"/>
      <c r="G39" s="5"/>
      <c r="J39" s="5"/>
      <c r="M39" s="5"/>
      <c r="P39" s="5"/>
      <c r="S39" s="5"/>
      <c r="V39" s="5"/>
    </row>
    <row r="40" ht="15.75" customHeight="1">
      <c r="C40" s="5"/>
      <c r="F40" s="37"/>
      <c r="G40" s="5"/>
      <c r="J40" s="5"/>
      <c r="M40" s="5"/>
      <c r="P40" s="5"/>
      <c r="S40" s="5"/>
      <c r="V40" s="5"/>
    </row>
    <row r="41" ht="15.75" customHeight="1">
      <c r="C41" s="5"/>
      <c r="F41" s="37"/>
      <c r="G41" s="5"/>
      <c r="J41" s="5"/>
      <c r="M41" s="5"/>
      <c r="P41" s="5"/>
      <c r="S41" s="5"/>
      <c r="V41" s="5"/>
    </row>
    <row r="42" ht="15.75" customHeight="1">
      <c r="C42" s="5"/>
      <c r="F42" s="37"/>
      <c r="G42" s="5"/>
      <c r="J42" s="5"/>
      <c r="M42" s="5"/>
      <c r="P42" s="5"/>
      <c r="S42" s="5"/>
      <c r="V42" s="5"/>
    </row>
    <row r="43" ht="15.75" customHeight="1">
      <c r="C43" s="5"/>
      <c r="F43" s="37"/>
      <c r="G43" s="5"/>
      <c r="J43" s="5"/>
      <c r="M43" s="5"/>
      <c r="P43" s="5"/>
      <c r="S43" s="5"/>
      <c r="V43" s="5"/>
    </row>
    <row r="44" ht="15.75" customHeight="1">
      <c r="C44" s="5"/>
      <c r="F44" s="37"/>
      <c r="G44" s="5"/>
      <c r="J44" s="5"/>
      <c r="M44" s="5"/>
      <c r="P44" s="5"/>
      <c r="S44" s="5"/>
      <c r="V44" s="5"/>
    </row>
    <row r="45" ht="15.75" customHeight="1">
      <c r="C45" s="5"/>
      <c r="F45" s="37"/>
      <c r="G45" s="5"/>
      <c r="J45" s="5"/>
      <c r="M45" s="5"/>
      <c r="P45" s="5"/>
      <c r="S45" s="5"/>
      <c r="V45" s="5"/>
    </row>
    <row r="46" ht="15.75" customHeight="1">
      <c r="C46" s="5"/>
      <c r="F46" s="37"/>
      <c r="G46" s="5"/>
      <c r="J46" s="5"/>
      <c r="M46" s="5"/>
      <c r="P46" s="5"/>
      <c r="S46" s="5"/>
      <c r="V46" s="5"/>
    </row>
    <row r="47" ht="15.75" customHeight="1">
      <c r="C47" s="5"/>
      <c r="F47" s="37"/>
      <c r="G47" s="5"/>
      <c r="J47" s="5"/>
      <c r="M47" s="5"/>
      <c r="P47" s="5"/>
      <c r="S47" s="5"/>
      <c r="V47" s="5"/>
    </row>
    <row r="48" ht="15.75" customHeight="1">
      <c r="C48" s="5"/>
      <c r="F48" s="37"/>
      <c r="G48" s="5"/>
      <c r="J48" s="5"/>
      <c r="M48" s="5"/>
      <c r="P48" s="5"/>
      <c r="S48" s="5"/>
      <c r="V48" s="5"/>
    </row>
    <row r="49" ht="15.75" customHeight="1">
      <c r="C49" s="5"/>
      <c r="F49" s="37"/>
      <c r="G49" s="5"/>
      <c r="J49" s="5"/>
      <c r="M49" s="5"/>
      <c r="P49" s="5"/>
      <c r="S49" s="5"/>
      <c r="V49" s="5"/>
    </row>
    <row r="50" ht="15.75" customHeight="1">
      <c r="C50" s="5"/>
      <c r="F50" s="37"/>
      <c r="G50" s="5"/>
      <c r="J50" s="5"/>
      <c r="M50" s="5"/>
      <c r="P50" s="5"/>
      <c r="S50" s="5"/>
      <c r="V50" s="5"/>
    </row>
    <row r="51" ht="15.75" customHeight="1">
      <c r="C51" s="5"/>
      <c r="F51" s="5"/>
      <c r="G51" s="5"/>
      <c r="J51" s="5"/>
      <c r="M51" s="5"/>
      <c r="P51" s="5"/>
      <c r="S51" s="5"/>
      <c r="V51" s="5"/>
    </row>
    <row r="52" ht="15.75" customHeight="1">
      <c r="C52" s="5"/>
      <c r="F52" s="5"/>
      <c r="G52" s="5"/>
      <c r="J52" s="5"/>
      <c r="M52" s="5"/>
      <c r="P52" s="5"/>
      <c r="S52" s="5"/>
      <c r="V52" s="5"/>
    </row>
    <row r="53" ht="15.75" customHeight="1">
      <c r="C53" s="5"/>
      <c r="F53" s="5"/>
      <c r="G53" s="5"/>
      <c r="J53" s="5"/>
      <c r="M53" s="5"/>
      <c r="P53" s="5"/>
      <c r="S53" s="5"/>
      <c r="V53" s="5"/>
    </row>
    <row r="54" ht="15.75" customHeight="1">
      <c r="C54" s="5"/>
      <c r="F54" s="5"/>
      <c r="G54" s="5"/>
      <c r="J54" s="5"/>
      <c r="M54" s="5"/>
      <c r="P54" s="5"/>
      <c r="S54" s="5"/>
      <c r="V54" s="5"/>
    </row>
    <row r="55" ht="15.75" customHeight="1">
      <c r="C55" s="5"/>
      <c r="F55" s="5"/>
      <c r="G55" s="5"/>
      <c r="J55" s="5"/>
      <c r="M55" s="5"/>
      <c r="P55" s="5"/>
      <c r="S55" s="5"/>
      <c r="V55" s="5"/>
    </row>
    <row r="56" ht="15.75" customHeight="1">
      <c r="C56" s="5"/>
      <c r="F56" s="5"/>
      <c r="G56" s="5"/>
      <c r="J56" s="5"/>
      <c r="M56" s="5"/>
      <c r="P56" s="5"/>
      <c r="S56" s="5"/>
      <c r="V56" s="5"/>
    </row>
    <row r="57" ht="15.75" customHeight="1">
      <c r="C57" s="5"/>
      <c r="F57" s="5"/>
      <c r="G57" s="5"/>
      <c r="J57" s="5"/>
      <c r="M57" s="5"/>
      <c r="P57" s="5"/>
      <c r="S57" s="5"/>
      <c r="V57" s="5"/>
    </row>
    <row r="58" ht="15.75" customHeight="1">
      <c r="C58" s="5"/>
      <c r="F58" s="5"/>
      <c r="G58" s="5"/>
      <c r="J58" s="5"/>
      <c r="M58" s="5"/>
      <c r="P58" s="5"/>
      <c r="S58" s="5"/>
      <c r="V58" s="5"/>
    </row>
    <row r="59" ht="15.75" customHeight="1">
      <c r="C59" s="5"/>
      <c r="F59" s="5"/>
      <c r="G59" s="5"/>
      <c r="J59" s="5"/>
      <c r="M59" s="5"/>
      <c r="P59" s="5"/>
      <c r="S59" s="5"/>
      <c r="V59" s="5"/>
    </row>
    <row r="60" ht="15.75" customHeight="1">
      <c r="C60" s="5"/>
      <c r="F60" s="5"/>
      <c r="G60" s="5"/>
      <c r="J60" s="5"/>
      <c r="M60" s="5"/>
      <c r="P60" s="5"/>
      <c r="S60" s="5"/>
      <c r="V60" s="5"/>
    </row>
    <row r="61" ht="15.75" customHeight="1">
      <c r="C61" s="5"/>
      <c r="F61" s="5"/>
      <c r="G61" s="135"/>
      <c r="J61" s="5"/>
      <c r="M61" s="5"/>
      <c r="P61" s="5"/>
      <c r="S61" s="5"/>
      <c r="V61" s="5"/>
    </row>
    <row r="62" ht="15.75" customHeight="1">
      <c r="C62" s="5"/>
      <c r="F62" s="5"/>
      <c r="G62" s="135"/>
      <c r="J62" s="5"/>
      <c r="M62" s="5"/>
      <c r="P62" s="5"/>
      <c r="S62" s="5"/>
      <c r="V62" s="5"/>
    </row>
    <row r="63" ht="15.75" customHeight="1">
      <c r="C63" s="5"/>
      <c r="F63" s="5"/>
      <c r="G63" s="135"/>
      <c r="J63" s="5"/>
      <c r="M63" s="5"/>
      <c r="P63" s="5"/>
      <c r="S63" s="5"/>
      <c r="V63" s="5"/>
    </row>
    <row r="64" ht="15.75" customHeight="1">
      <c r="C64" s="5"/>
      <c r="F64" s="5"/>
      <c r="G64" s="135"/>
      <c r="J64" s="5"/>
      <c r="M64" s="5"/>
      <c r="P64" s="5"/>
      <c r="S64" s="5"/>
      <c r="V64" s="5"/>
    </row>
    <row r="65" ht="15.75" customHeight="1">
      <c r="C65" s="5"/>
      <c r="F65" s="5"/>
      <c r="G65" s="135"/>
      <c r="J65" s="5"/>
      <c r="M65" s="5"/>
      <c r="P65" s="5"/>
      <c r="S65" s="5"/>
      <c r="V65" s="5"/>
    </row>
    <row r="66" ht="15.75" customHeight="1">
      <c r="C66" s="5"/>
      <c r="F66" s="5"/>
      <c r="G66" s="5"/>
      <c r="J66" s="5"/>
      <c r="M66" s="5"/>
      <c r="P66" s="5"/>
      <c r="S66" s="5"/>
      <c r="V66" s="5"/>
    </row>
    <row r="67" ht="15.75" customHeight="1">
      <c r="C67" s="5"/>
      <c r="F67" s="5"/>
      <c r="G67" s="5"/>
      <c r="J67" s="5"/>
      <c r="M67" s="5"/>
      <c r="P67" s="5"/>
      <c r="S67" s="5"/>
      <c r="V67" s="5"/>
    </row>
    <row r="68" ht="15.75" customHeight="1">
      <c r="C68" s="5"/>
      <c r="F68" s="5"/>
      <c r="G68" s="5"/>
      <c r="J68" s="5"/>
      <c r="M68" s="5"/>
      <c r="P68" s="5"/>
      <c r="S68" s="5"/>
      <c r="V68" s="5"/>
    </row>
    <row r="69" ht="15.75" customHeight="1">
      <c r="C69" s="5"/>
      <c r="F69" s="5"/>
      <c r="G69" s="5"/>
      <c r="J69" s="5"/>
      <c r="M69" s="5"/>
      <c r="P69" s="5"/>
      <c r="S69" s="5"/>
      <c r="V69" s="5"/>
    </row>
    <row r="70" ht="15.75" customHeight="1">
      <c r="C70" s="5"/>
      <c r="F70" s="5"/>
      <c r="G70" s="5"/>
      <c r="J70" s="5"/>
      <c r="M70" s="5"/>
      <c r="P70" s="5"/>
      <c r="S70" s="5"/>
      <c r="V70" s="5"/>
    </row>
    <row r="71" ht="15.75" customHeight="1">
      <c r="C71" s="5"/>
      <c r="F71" s="5"/>
      <c r="G71" s="5"/>
      <c r="J71" s="5"/>
      <c r="M71" s="5"/>
      <c r="P71" s="5"/>
      <c r="S71" s="5"/>
      <c r="V71" s="5"/>
    </row>
    <row r="72" ht="15.75" customHeight="1">
      <c r="C72" s="5"/>
      <c r="F72" s="5"/>
      <c r="G72" s="5"/>
      <c r="J72" s="5"/>
      <c r="M72" s="5"/>
      <c r="P72" s="5"/>
      <c r="S72" s="5"/>
      <c r="V72" s="5"/>
    </row>
    <row r="73" ht="15.75" customHeight="1">
      <c r="C73" s="5"/>
      <c r="F73" s="5"/>
      <c r="G73" s="5"/>
      <c r="J73" s="5"/>
      <c r="M73" s="5"/>
      <c r="P73" s="5"/>
      <c r="S73" s="5"/>
      <c r="V73" s="5"/>
    </row>
    <row r="74" ht="15.75" customHeight="1">
      <c r="C74" s="5"/>
      <c r="F74" s="5"/>
      <c r="G74" s="5"/>
      <c r="J74" s="5"/>
      <c r="M74" s="5"/>
      <c r="P74" s="5"/>
      <c r="S74" s="5"/>
      <c r="V74" s="5"/>
    </row>
    <row r="75" ht="15.75" customHeight="1">
      <c r="C75" s="5"/>
      <c r="F75" s="5"/>
      <c r="G75" s="5"/>
      <c r="J75" s="5"/>
      <c r="M75" s="5"/>
      <c r="P75" s="5"/>
      <c r="S75" s="5"/>
      <c r="V75" s="5"/>
    </row>
    <row r="76" ht="15.75" customHeight="1">
      <c r="C76" s="5"/>
      <c r="F76" s="5"/>
      <c r="G76" s="5"/>
      <c r="J76" s="5"/>
      <c r="M76" s="5"/>
      <c r="P76" s="5"/>
      <c r="S76" s="5"/>
      <c r="V76" s="5"/>
    </row>
    <row r="77" ht="15.75" customHeight="1">
      <c r="C77" s="5"/>
      <c r="F77" s="5"/>
      <c r="G77" s="5"/>
      <c r="J77" s="5"/>
      <c r="M77" s="5"/>
      <c r="P77" s="5"/>
      <c r="S77" s="5"/>
      <c r="V77" s="5"/>
    </row>
    <row r="78" ht="15.75" customHeight="1">
      <c r="C78" s="5"/>
      <c r="F78" s="5"/>
      <c r="G78" s="5"/>
      <c r="J78" s="5"/>
      <c r="M78" s="5"/>
      <c r="P78" s="5"/>
      <c r="S78" s="5"/>
      <c r="V78" s="5"/>
    </row>
    <row r="79" ht="15.75" customHeight="1">
      <c r="C79" s="5"/>
      <c r="F79" s="5"/>
      <c r="G79" s="5"/>
      <c r="J79" s="5"/>
      <c r="M79" s="5"/>
      <c r="P79" s="5"/>
      <c r="S79" s="5"/>
      <c r="V79" s="5"/>
    </row>
    <row r="80" ht="15.75" customHeight="1">
      <c r="C80" s="5"/>
      <c r="F80" s="5"/>
      <c r="G80" s="5"/>
      <c r="J80" s="5"/>
      <c r="M80" s="5"/>
      <c r="P80" s="5"/>
      <c r="S80" s="5"/>
      <c r="V80" s="5"/>
    </row>
    <row r="81" ht="15.75" customHeight="1">
      <c r="C81" s="5"/>
      <c r="F81" s="5"/>
      <c r="G81" s="5"/>
      <c r="J81" s="5"/>
      <c r="M81" s="5"/>
      <c r="P81" s="5"/>
      <c r="S81" s="5"/>
      <c r="V81" s="5"/>
    </row>
    <row r="82" ht="15.75" customHeight="1">
      <c r="C82" s="5"/>
      <c r="F82" s="5"/>
      <c r="G82" s="5"/>
      <c r="J82" s="5"/>
      <c r="M82" s="5"/>
      <c r="P82" s="5"/>
      <c r="S82" s="5"/>
      <c r="V82" s="5"/>
    </row>
    <row r="83" ht="15.75" customHeight="1">
      <c r="C83" s="5"/>
      <c r="F83" s="5"/>
      <c r="G83" s="5"/>
      <c r="J83" s="5"/>
      <c r="M83" s="5"/>
      <c r="P83" s="5"/>
      <c r="S83" s="5"/>
      <c r="V83" s="5"/>
    </row>
    <row r="84" ht="15.75" customHeight="1">
      <c r="C84" s="5"/>
      <c r="F84" s="5"/>
      <c r="G84" s="5"/>
      <c r="J84" s="5"/>
      <c r="M84" s="5"/>
      <c r="P84" s="5"/>
      <c r="S84" s="5"/>
      <c r="V84" s="5"/>
    </row>
    <row r="85" ht="15.75" customHeight="1">
      <c r="C85" s="5"/>
      <c r="F85" s="5"/>
      <c r="G85" s="5"/>
      <c r="J85" s="5"/>
      <c r="M85" s="5"/>
      <c r="P85" s="5"/>
      <c r="S85" s="5"/>
      <c r="V85" s="5"/>
    </row>
    <row r="86" ht="15.75" customHeight="1">
      <c r="C86" s="5"/>
      <c r="F86" s="5"/>
      <c r="G86" s="5"/>
      <c r="J86" s="5"/>
      <c r="M86" s="5"/>
      <c r="P86" s="5"/>
      <c r="S86" s="5"/>
      <c r="V86" s="5"/>
    </row>
    <row r="87" ht="15.75" customHeight="1">
      <c r="C87" s="5"/>
      <c r="F87" s="5"/>
      <c r="G87" s="5"/>
      <c r="J87" s="5"/>
      <c r="M87" s="5"/>
      <c r="P87" s="5"/>
      <c r="S87" s="5"/>
      <c r="V87" s="5"/>
    </row>
    <row r="88" ht="15.75" customHeight="1">
      <c r="C88" s="5"/>
      <c r="F88" s="5"/>
      <c r="G88" s="5"/>
      <c r="J88" s="5"/>
      <c r="M88" s="5"/>
      <c r="P88" s="5"/>
      <c r="S88" s="5"/>
      <c r="V88" s="5"/>
    </row>
    <row r="89" ht="15.75" customHeight="1">
      <c r="C89" s="5"/>
      <c r="F89" s="5"/>
      <c r="G89" s="5"/>
      <c r="J89" s="5"/>
      <c r="M89" s="5"/>
      <c r="P89" s="5"/>
      <c r="S89" s="5"/>
      <c r="V89" s="5"/>
    </row>
    <row r="90" ht="15.75" customHeight="1">
      <c r="C90" s="5"/>
      <c r="F90" s="5"/>
      <c r="G90" s="5"/>
      <c r="J90" s="5"/>
      <c r="M90" s="5"/>
      <c r="P90" s="5"/>
      <c r="S90" s="5"/>
      <c r="V90" s="5"/>
    </row>
    <row r="91" ht="15.75" customHeight="1">
      <c r="C91" s="5"/>
      <c r="F91" s="5"/>
      <c r="G91" s="5"/>
      <c r="J91" s="5"/>
      <c r="M91" s="5"/>
      <c r="P91" s="5"/>
      <c r="S91" s="5"/>
      <c r="V91" s="5"/>
    </row>
    <row r="92" ht="15.75" customHeight="1">
      <c r="C92" s="5"/>
      <c r="F92" s="5"/>
      <c r="G92" s="5"/>
      <c r="J92" s="5"/>
      <c r="M92" s="5"/>
      <c r="P92" s="5"/>
      <c r="S92" s="5"/>
      <c r="V92" s="5"/>
    </row>
    <row r="93" ht="15.75" customHeight="1">
      <c r="C93" s="5"/>
      <c r="F93" s="5"/>
      <c r="G93" s="5"/>
      <c r="J93" s="5"/>
      <c r="M93" s="5"/>
      <c r="P93" s="5"/>
      <c r="S93" s="5"/>
      <c r="V93" s="5"/>
    </row>
    <row r="94" ht="15.75" customHeight="1">
      <c r="C94" s="5"/>
      <c r="F94" s="5"/>
      <c r="G94" s="5"/>
      <c r="J94" s="5"/>
      <c r="M94" s="5"/>
      <c r="P94" s="5"/>
      <c r="S94" s="5"/>
      <c r="V94" s="5"/>
    </row>
    <row r="95" ht="15.75" customHeight="1">
      <c r="C95" s="5"/>
      <c r="F95" s="5"/>
      <c r="G95" s="5"/>
      <c r="J95" s="5"/>
      <c r="M95" s="5"/>
      <c r="P95" s="5"/>
      <c r="S95" s="5"/>
      <c r="V95" s="5"/>
    </row>
    <row r="96" ht="15.75" customHeight="1">
      <c r="C96" s="5"/>
      <c r="F96" s="5"/>
      <c r="G96" s="5"/>
      <c r="J96" s="5"/>
      <c r="M96" s="5"/>
      <c r="P96" s="5"/>
      <c r="S96" s="5"/>
      <c r="V96" s="5"/>
    </row>
    <row r="97" ht="15.75" customHeight="1">
      <c r="C97" s="5"/>
      <c r="F97" s="5"/>
      <c r="G97" s="5"/>
      <c r="J97" s="5"/>
      <c r="M97" s="5"/>
      <c r="P97" s="5"/>
      <c r="S97" s="5"/>
      <c r="V97" s="5"/>
    </row>
    <row r="98" ht="15.75" customHeight="1">
      <c r="C98" s="5"/>
      <c r="F98" s="5"/>
      <c r="G98" s="5"/>
      <c r="J98" s="5"/>
      <c r="M98" s="5"/>
      <c r="P98" s="5"/>
      <c r="S98" s="5"/>
      <c r="V98" s="5"/>
    </row>
    <row r="99" ht="15.75" customHeight="1">
      <c r="C99" s="5"/>
      <c r="F99" s="5"/>
      <c r="G99" s="5"/>
      <c r="J99" s="5"/>
      <c r="M99" s="5"/>
      <c r="P99" s="5"/>
      <c r="S99" s="5"/>
      <c r="V99" s="5"/>
    </row>
    <row r="100" ht="15.75" customHeight="1">
      <c r="C100" s="5"/>
      <c r="F100" s="5"/>
      <c r="G100" s="5"/>
      <c r="J100" s="5"/>
      <c r="M100" s="5"/>
      <c r="P100" s="5"/>
      <c r="S100" s="5"/>
      <c r="V100" s="5"/>
    </row>
    <row r="101" ht="15.75" customHeight="1">
      <c r="C101" s="5"/>
      <c r="F101" s="5"/>
      <c r="G101" s="5"/>
      <c r="J101" s="5"/>
      <c r="M101" s="5"/>
      <c r="P101" s="5"/>
      <c r="S101" s="5"/>
      <c r="V101" s="5"/>
    </row>
    <row r="102" ht="15.75" customHeight="1">
      <c r="C102" s="5"/>
      <c r="F102" s="5"/>
      <c r="G102" s="5"/>
      <c r="J102" s="5"/>
      <c r="M102" s="5"/>
      <c r="P102" s="5"/>
      <c r="S102" s="5"/>
      <c r="V102" s="5"/>
    </row>
    <row r="103" ht="15.75" customHeight="1">
      <c r="C103" s="5"/>
      <c r="F103" s="5"/>
      <c r="G103" s="5"/>
      <c r="J103" s="5"/>
      <c r="M103" s="5"/>
      <c r="P103" s="5"/>
      <c r="S103" s="5"/>
      <c r="V103" s="5"/>
    </row>
    <row r="104" ht="15.75" customHeight="1">
      <c r="C104" s="5"/>
      <c r="F104" s="5"/>
      <c r="G104" s="5"/>
      <c r="J104" s="5"/>
      <c r="M104" s="5"/>
      <c r="P104" s="5"/>
      <c r="S104" s="5"/>
      <c r="V104" s="5"/>
    </row>
    <row r="105" ht="15.75" customHeight="1">
      <c r="C105" s="5"/>
      <c r="F105" s="5"/>
      <c r="G105" s="5"/>
      <c r="J105" s="5"/>
      <c r="M105" s="5"/>
      <c r="P105" s="5"/>
      <c r="S105" s="5"/>
      <c r="V105" s="5"/>
    </row>
    <row r="106" ht="15.75" customHeight="1">
      <c r="C106" s="5"/>
      <c r="F106" s="5"/>
      <c r="G106" s="5"/>
      <c r="J106" s="5"/>
      <c r="M106" s="5"/>
      <c r="P106" s="5"/>
      <c r="S106" s="5"/>
      <c r="V106" s="5"/>
    </row>
    <row r="107" ht="15.75" customHeight="1">
      <c r="C107" s="5"/>
      <c r="F107" s="5"/>
      <c r="G107" s="5"/>
      <c r="J107" s="5"/>
      <c r="M107" s="5"/>
      <c r="P107" s="5"/>
      <c r="S107" s="5"/>
      <c r="V107" s="5"/>
    </row>
    <row r="108" ht="15.75" customHeight="1">
      <c r="C108" s="5"/>
      <c r="F108" s="5"/>
      <c r="G108" s="5"/>
      <c r="J108" s="5"/>
      <c r="M108" s="5"/>
      <c r="P108" s="5"/>
      <c r="S108" s="5"/>
      <c r="V108" s="5"/>
    </row>
    <row r="109" ht="15.75" customHeight="1">
      <c r="C109" s="5"/>
      <c r="F109" s="5"/>
      <c r="G109" s="5"/>
      <c r="J109" s="5"/>
      <c r="M109" s="5"/>
      <c r="P109" s="5"/>
      <c r="S109" s="5"/>
      <c r="V109" s="5"/>
    </row>
    <row r="110" ht="15.75" customHeight="1">
      <c r="C110" s="5"/>
      <c r="F110" s="5"/>
      <c r="G110" s="5"/>
      <c r="J110" s="5"/>
      <c r="M110" s="5"/>
      <c r="P110" s="5"/>
      <c r="S110" s="5"/>
      <c r="V110" s="5"/>
    </row>
    <row r="111" ht="15.75" customHeight="1">
      <c r="C111" s="5"/>
      <c r="F111" s="5"/>
      <c r="G111" s="5"/>
      <c r="J111" s="5"/>
      <c r="M111" s="5"/>
      <c r="P111" s="5"/>
      <c r="S111" s="5"/>
      <c r="V111" s="5"/>
    </row>
    <row r="112" ht="15.75" customHeight="1">
      <c r="C112" s="5"/>
      <c r="F112" s="5"/>
      <c r="G112" s="5"/>
      <c r="J112" s="5"/>
      <c r="M112" s="5"/>
      <c r="P112" s="5"/>
      <c r="S112" s="5"/>
      <c r="V112" s="5"/>
    </row>
    <row r="113" ht="15.75" customHeight="1">
      <c r="C113" s="5"/>
      <c r="F113" s="5"/>
      <c r="G113" s="5"/>
      <c r="J113" s="5"/>
      <c r="M113" s="5"/>
      <c r="P113" s="5"/>
      <c r="S113" s="5"/>
      <c r="V113" s="5"/>
    </row>
    <row r="114" ht="15.75" customHeight="1">
      <c r="C114" s="5"/>
      <c r="F114" s="5"/>
      <c r="G114" s="5"/>
      <c r="J114" s="5"/>
      <c r="M114" s="5"/>
      <c r="P114" s="5"/>
      <c r="S114" s="5"/>
      <c r="V114" s="5"/>
    </row>
    <row r="115" ht="15.75" customHeight="1">
      <c r="C115" s="5"/>
      <c r="F115" s="5"/>
      <c r="G115" s="5"/>
      <c r="J115" s="5"/>
      <c r="M115" s="5"/>
      <c r="P115" s="5"/>
      <c r="S115" s="5"/>
      <c r="V115" s="5"/>
    </row>
    <row r="116" ht="15.75" customHeight="1">
      <c r="C116" s="5"/>
      <c r="F116" s="5"/>
      <c r="G116" s="5"/>
      <c r="J116" s="5"/>
      <c r="M116" s="5"/>
      <c r="P116" s="5"/>
      <c r="S116" s="5"/>
      <c r="V116" s="5"/>
    </row>
    <row r="117" ht="15.75" customHeight="1">
      <c r="C117" s="5"/>
      <c r="F117" s="5"/>
      <c r="G117" s="5"/>
      <c r="J117" s="5"/>
      <c r="M117" s="5"/>
      <c r="P117" s="5"/>
      <c r="S117" s="5"/>
      <c r="V117" s="5"/>
    </row>
    <row r="118" ht="15.75" customHeight="1">
      <c r="C118" s="5"/>
      <c r="F118" s="5"/>
      <c r="G118" s="5"/>
      <c r="J118" s="5"/>
      <c r="M118" s="5"/>
      <c r="P118" s="5"/>
      <c r="S118" s="5"/>
      <c r="V118" s="5"/>
    </row>
    <row r="119" ht="15.75" customHeight="1">
      <c r="C119" s="5"/>
      <c r="F119" s="5"/>
      <c r="G119" s="5"/>
      <c r="J119" s="5"/>
      <c r="M119" s="5"/>
      <c r="P119" s="5"/>
      <c r="S119" s="5"/>
      <c r="V119" s="5"/>
    </row>
    <row r="120" ht="15.75" customHeight="1">
      <c r="C120" s="5"/>
      <c r="F120" s="5"/>
      <c r="G120" s="5"/>
      <c r="J120" s="5"/>
      <c r="M120" s="5"/>
      <c r="P120" s="5"/>
      <c r="S120" s="5"/>
      <c r="V120" s="5"/>
    </row>
    <row r="121" ht="15.75" customHeight="1">
      <c r="C121" s="5"/>
      <c r="F121" s="5"/>
      <c r="G121" s="5"/>
      <c r="J121" s="5"/>
      <c r="M121" s="5"/>
      <c r="P121" s="5"/>
      <c r="S121" s="5"/>
      <c r="V121" s="5"/>
    </row>
    <row r="122" ht="15.75" customHeight="1">
      <c r="C122" s="5"/>
      <c r="F122" s="5"/>
      <c r="G122" s="5"/>
      <c r="J122" s="5"/>
      <c r="M122" s="5"/>
      <c r="P122" s="5"/>
      <c r="S122" s="5"/>
      <c r="V122" s="5"/>
    </row>
    <row r="123" ht="15.75" customHeight="1">
      <c r="C123" s="5"/>
      <c r="F123" s="5"/>
      <c r="G123" s="5"/>
      <c r="J123" s="5"/>
      <c r="M123" s="5"/>
      <c r="P123" s="5"/>
      <c r="S123" s="5"/>
      <c r="V123" s="5"/>
    </row>
    <row r="124" ht="15.75" customHeight="1">
      <c r="C124" s="5"/>
      <c r="F124" s="5"/>
      <c r="G124" s="5"/>
      <c r="J124" s="5"/>
      <c r="M124" s="5"/>
      <c r="P124" s="5"/>
      <c r="S124" s="5"/>
      <c r="V124" s="5"/>
    </row>
    <row r="125" ht="15.75" customHeight="1">
      <c r="C125" s="5"/>
      <c r="F125" s="5"/>
      <c r="G125" s="5"/>
      <c r="J125" s="5"/>
      <c r="M125" s="5"/>
      <c r="P125" s="5"/>
      <c r="S125" s="5"/>
      <c r="V125" s="5"/>
    </row>
    <row r="126" ht="15.75" customHeight="1">
      <c r="C126" s="5"/>
      <c r="F126" s="5"/>
      <c r="G126" s="5"/>
      <c r="J126" s="5"/>
      <c r="M126" s="5"/>
      <c r="P126" s="5"/>
      <c r="S126" s="5"/>
      <c r="V126" s="5"/>
    </row>
    <row r="127" ht="15.75" customHeight="1">
      <c r="C127" s="5"/>
      <c r="F127" s="5"/>
      <c r="G127" s="5"/>
      <c r="J127" s="5"/>
      <c r="M127" s="5"/>
      <c r="P127" s="5"/>
      <c r="S127" s="5"/>
      <c r="V127" s="5"/>
    </row>
    <row r="128" ht="15.75" customHeight="1">
      <c r="C128" s="5"/>
      <c r="F128" s="5"/>
      <c r="G128" s="5"/>
      <c r="J128" s="5"/>
      <c r="M128" s="5"/>
      <c r="P128" s="5"/>
      <c r="S128" s="5"/>
      <c r="V128" s="5"/>
    </row>
    <row r="129" ht="15.75" customHeight="1">
      <c r="C129" s="5"/>
      <c r="F129" s="5"/>
      <c r="G129" s="5"/>
      <c r="J129" s="5"/>
      <c r="M129" s="5"/>
      <c r="P129" s="5"/>
      <c r="S129" s="5"/>
      <c r="V129" s="5"/>
    </row>
    <row r="130" ht="15.75" customHeight="1">
      <c r="C130" s="5"/>
      <c r="F130" s="5"/>
      <c r="G130" s="5"/>
      <c r="J130" s="5"/>
      <c r="M130" s="5"/>
      <c r="P130" s="5"/>
      <c r="S130" s="5"/>
      <c r="V130" s="5"/>
    </row>
    <row r="131" ht="15.75" customHeight="1">
      <c r="C131" s="5"/>
      <c r="F131" s="5"/>
      <c r="G131" s="5"/>
      <c r="J131" s="5"/>
      <c r="M131" s="5"/>
      <c r="P131" s="5"/>
      <c r="S131" s="5"/>
      <c r="V131" s="5"/>
    </row>
    <row r="132" ht="15.75" customHeight="1">
      <c r="C132" s="5"/>
      <c r="F132" s="5"/>
      <c r="G132" s="5"/>
      <c r="J132" s="5"/>
      <c r="M132" s="5"/>
      <c r="P132" s="5"/>
      <c r="S132" s="5"/>
      <c r="V132" s="5"/>
    </row>
    <row r="133" ht="15.75" customHeight="1">
      <c r="C133" s="5"/>
      <c r="F133" s="5"/>
      <c r="G133" s="5"/>
      <c r="J133" s="5"/>
      <c r="M133" s="5"/>
      <c r="P133" s="5"/>
      <c r="S133" s="5"/>
      <c r="V133" s="5"/>
    </row>
    <row r="134" ht="15.75" customHeight="1">
      <c r="C134" s="5"/>
      <c r="F134" s="5"/>
      <c r="G134" s="5"/>
      <c r="J134" s="5"/>
      <c r="M134" s="5"/>
      <c r="P134" s="5"/>
      <c r="S134" s="5"/>
      <c r="V134" s="5"/>
    </row>
    <row r="135" ht="15.75" customHeight="1">
      <c r="C135" s="5"/>
      <c r="F135" s="5"/>
      <c r="G135" s="5"/>
      <c r="J135" s="5"/>
      <c r="M135" s="5"/>
      <c r="P135" s="5"/>
      <c r="S135" s="5"/>
      <c r="V135" s="5"/>
    </row>
    <row r="136" ht="15.75" customHeight="1">
      <c r="C136" s="5"/>
      <c r="F136" s="5"/>
      <c r="G136" s="5"/>
      <c r="J136" s="5"/>
      <c r="M136" s="5"/>
      <c r="P136" s="5"/>
      <c r="S136" s="5"/>
      <c r="V136" s="5"/>
    </row>
    <row r="137" ht="15.75" customHeight="1">
      <c r="C137" s="5"/>
      <c r="F137" s="5"/>
      <c r="G137" s="5"/>
      <c r="J137" s="5"/>
      <c r="M137" s="5"/>
      <c r="P137" s="5"/>
      <c r="S137" s="5"/>
      <c r="V137" s="5"/>
    </row>
    <row r="138" ht="15.75" customHeight="1">
      <c r="C138" s="5"/>
      <c r="F138" s="5"/>
      <c r="G138" s="5"/>
      <c r="J138" s="5"/>
      <c r="M138" s="5"/>
      <c r="P138" s="5"/>
      <c r="S138" s="5"/>
      <c r="V138" s="5"/>
    </row>
    <row r="139" ht="15.75" customHeight="1">
      <c r="C139" s="5"/>
      <c r="F139" s="5"/>
      <c r="G139" s="5"/>
      <c r="J139" s="5"/>
      <c r="M139" s="5"/>
      <c r="P139" s="5"/>
      <c r="S139" s="5"/>
      <c r="V139" s="5"/>
    </row>
    <row r="140" ht="15.75" customHeight="1">
      <c r="C140" s="5"/>
      <c r="F140" s="5"/>
      <c r="G140" s="5"/>
      <c r="J140" s="5"/>
      <c r="M140" s="5"/>
      <c r="P140" s="5"/>
      <c r="S140" s="5"/>
      <c r="V140" s="5"/>
    </row>
    <row r="141" ht="15.75" customHeight="1">
      <c r="C141" s="5"/>
      <c r="F141" s="5"/>
      <c r="G141" s="5"/>
      <c r="J141" s="5"/>
      <c r="M141" s="5"/>
      <c r="P141" s="5"/>
      <c r="S141" s="5"/>
      <c r="V141" s="5"/>
    </row>
    <row r="142" ht="15.75" customHeight="1">
      <c r="C142" s="5"/>
      <c r="F142" s="5"/>
      <c r="G142" s="5"/>
      <c r="J142" s="5"/>
      <c r="M142" s="5"/>
      <c r="P142" s="5"/>
      <c r="S142" s="5"/>
      <c r="V142" s="5"/>
    </row>
    <row r="143" ht="15.75" customHeight="1">
      <c r="C143" s="5"/>
      <c r="F143" s="5"/>
      <c r="G143" s="5"/>
      <c r="J143" s="5"/>
      <c r="M143" s="5"/>
      <c r="P143" s="5"/>
      <c r="S143" s="5"/>
      <c r="V143" s="5"/>
    </row>
    <row r="144" ht="15.75" customHeight="1">
      <c r="C144" s="5"/>
      <c r="F144" s="5"/>
      <c r="G144" s="5"/>
      <c r="J144" s="5"/>
      <c r="M144" s="5"/>
      <c r="P144" s="5"/>
      <c r="S144" s="5"/>
      <c r="V144" s="5"/>
    </row>
    <row r="145" ht="15.75" customHeight="1">
      <c r="C145" s="5"/>
      <c r="F145" s="5"/>
      <c r="G145" s="5"/>
      <c r="J145" s="5"/>
      <c r="M145" s="5"/>
      <c r="P145" s="5"/>
      <c r="S145" s="5"/>
      <c r="V145" s="5"/>
    </row>
    <row r="146" ht="15.75" customHeight="1">
      <c r="C146" s="5"/>
      <c r="F146" s="5"/>
      <c r="G146" s="5"/>
      <c r="J146" s="5"/>
      <c r="M146" s="5"/>
      <c r="P146" s="5"/>
      <c r="S146" s="5"/>
      <c r="V146" s="5"/>
    </row>
    <row r="147" ht="15.75" customHeight="1">
      <c r="C147" s="5"/>
      <c r="F147" s="5"/>
      <c r="G147" s="5"/>
      <c r="J147" s="5"/>
      <c r="M147" s="5"/>
      <c r="P147" s="5"/>
      <c r="S147" s="5"/>
      <c r="V147" s="5"/>
    </row>
    <row r="148" ht="15.75" customHeight="1">
      <c r="C148" s="5"/>
      <c r="F148" s="5"/>
      <c r="G148" s="5"/>
      <c r="J148" s="5"/>
      <c r="M148" s="5"/>
      <c r="P148" s="5"/>
      <c r="S148" s="5"/>
      <c r="V148" s="5"/>
    </row>
    <row r="149" ht="15.75" customHeight="1">
      <c r="C149" s="5"/>
      <c r="F149" s="5"/>
      <c r="G149" s="5"/>
      <c r="J149" s="5"/>
      <c r="M149" s="5"/>
      <c r="P149" s="5"/>
      <c r="S149" s="5"/>
      <c r="V149" s="5"/>
    </row>
    <row r="150" ht="15.75" customHeight="1">
      <c r="C150" s="5"/>
      <c r="F150" s="5"/>
      <c r="G150" s="5"/>
      <c r="J150" s="5"/>
      <c r="M150" s="5"/>
      <c r="P150" s="5"/>
      <c r="S150" s="5"/>
      <c r="V150" s="5"/>
    </row>
    <row r="151" ht="15.75" customHeight="1">
      <c r="C151" s="5"/>
      <c r="F151" s="5"/>
      <c r="G151" s="5"/>
      <c r="J151" s="5"/>
      <c r="M151" s="5"/>
      <c r="P151" s="5"/>
      <c r="S151" s="5"/>
      <c r="V151" s="5"/>
    </row>
    <row r="152" ht="15.75" customHeight="1">
      <c r="C152" s="5"/>
      <c r="F152" s="5"/>
      <c r="G152" s="5"/>
      <c r="J152" s="5"/>
      <c r="M152" s="5"/>
      <c r="P152" s="5"/>
      <c r="S152" s="5"/>
      <c r="V152" s="5"/>
    </row>
    <row r="153" ht="15.75" customHeight="1">
      <c r="C153" s="5"/>
      <c r="F153" s="5"/>
      <c r="G153" s="5"/>
      <c r="J153" s="5"/>
      <c r="M153" s="5"/>
      <c r="P153" s="5"/>
      <c r="S153" s="5"/>
      <c r="V153" s="5"/>
    </row>
    <row r="154" ht="15.75" customHeight="1">
      <c r="C154" s="5"/>
      <c r="F154" s="5"/>
      <c r="G154" s="5"/>
      <c r="J154" s="5"/>
      <c r="M154" s="5"/>
      <c r="P154" s="5"/>
      <c r="S154" s="5"/>
      <c r="V154" s="5"/>
    </row>
    <row r="155" ht="15.75" customHeight="1">
      <c r="C155" s="5"/>
      <c r="F155" s="5"/>
      <c r="G155" s="5"/>
      <c r="J155" s="5"/>
      <c r="M155" s="5"/>
      <c r="P155" s="5"/>
      <c r="S155" s="5"/>
      <c r="V155" s="5"/>
    </row>
    <row r="156" ht="15.75" customHeight="1">
      <c r="C156" s="5"/>
      <c r="F156" s="5"/>
      <c r="G156" s="5"/>
      <c r="J156" s="5"/>
      <c r="M156" s="5"/>
      <c r="P156" s="5"/>
      <c r="S156" s="5"/>
      <c r="V156" s="5"/>
    </row>
    <row r="157" ht="15.75" customHeight="1">
      <c r="C157" s="5"/>
      <c r="F157" s="5"/>
      <c r="G157" s="5"/>
      <c r="J157" s="5"/>
      <c r="M157" s="5"/>
      <c r="P157" s="5"/>
      <c r="S157" s="5"/>
      <c r="V157" s="5"/>
    </row>
    <row r="158" ht="15.75" customHeight="1">
      <c r="C158" s="5"/>
      <c r="F158" s="5"/>
      <c r="G158" s="5"/>
      <c r="J158" s="5"/>
      <c r="M158" s="5"/>
      <c r="P158" s="5"/>
      <c r="S158" s="5"/>
      <c r="V158" s="5"/>
    </row>
    <row r="159" ht="15.75" customHeight="1">
      <c r="C159" s="5"/>
      <c r="F159" s="5"/>
      <c r="G159" s="5"/>
      <c r="J159" s="5"/>
      <c r="M159" s="5"/>
      <c r="P159" s="5"/>
      <c r="S159" s="5"/>
      <c r="V159" s="5"/>
    </row>
    <row r="160" ht="15.75" customHeight="1">
      <c r="C160" s="5"/>
      <c r="F160" s="5"/>
      <c r="G160" s="5"/>
      <c r="J160" s="5"/>
      <c r="M160" s="5"/>
      <c r="P160" s="5"/>
      <c r="S160" s="5"/>
      <c r="V160" s="5"/>
    </row>
    <row r="161" ht="15.75" customHeight="1">
      <c r="C161" s="5"/>
      <c r="F161" s="5"/>
      <c r="G161" s="5"/>
      <c r="J161" s="5"/>
      <c r="M161" s="5"/>
      <c r="P161" s="5"/>
      <c r="S161" s="5"/>
      <c r="V161" s="5"/>
    </row>
    <row r="162" ht="15.75" customHeight="1">
      <c r="C162" s="5"/>
      <c r="F162" s="5"/>
      <c r="G162" s="5"/>
      <c r="J162" s="5"/>
      <c r="M162" s="5"/>
      <c r="P162" s="5"/>
      <c r="S162" s="5"/>
      <c r="V162" s="5"/>
    </row>
    <row r="163" ht="15.75" customHeight="1">
      <c r="C163" s="5"/>
      <c r="F163" s="5"/>
      <c r="G163" s="5"/>
      <c r="J163" s="5"/>
      <c r="M163" s="5"/>
      <c r="P163" s="5"/>
      <c r="S163" s="5"/>
      <c r="V163" s="5"/>
    </row>
    <row r="164" ht="15.75" customHeight="1">
      <c r="C164" s="5"/>
      <c r="F164" s="5"/>
      <c r="G164" s="5"/>
      <c r="J164" s="5"/>
      <c r="M164" s="5"/>
      <c r="P164" s="5"/>
      <c r="S164" s="5"/>
      <c r="V164" s="5"/>
    </row>
    <row r="165" ht="15.75" customHeight="1">
      <c r="C165" s="5"/>
      <c r="F165" s="5"/>
      <c r="G165" s="5"/>
      <c r="J165" s="5"/>
      <c r="M165" s="5"/>
      <c r="P165" s="5"/>
      <c r="S165" s="5"/>
      <c r="V165" s="5"/>
    </row>
    <row r="166" ht="15.75" customHeight="1">
      <c r="C166" s="5"/>
      <c r="F166" s="5"/>
      <c r="G166" s="5"/>
      <c r="J166" s="5"/>
      <c r="M166" s="5"/>
      <c r="P166" s="5"/>
      <c r="S166" s="5"/>
      <c r="V166" s="5"/>
    </row>
    <row r="167" ht="15.75" customHeight="1">
      <c r="C167" s="5"/>
      <c r="F167" s="5"/>
      <c r="G167" s="5"/>
      <c r="J167" s="5"/>
      <c r="M167" s="5"/>
      <c r="P167" s="5"/>
      <c r="S167" s="5"/>
      <c r="V167" s="5"/>
    </row>
    <row r="168" ht="15.75" customHeight="1">
      <c r="C168" s="5"/>
      <c r="F168" s="5"/>
      <c r="G168" s="5"/>
      <c r="J168" s="5"/>
      <c r="M168" s="5"/>
      <c r="P168" s="5"/>
      <c r="S168" s="5"/>
      <c r="V168" s="5"/>
    </row>
    <row r="169" ht="15.75" customHeight="1">
      <c r="C169" s="5"/>
      <c r="F169" s="5"/>
      <c r="G169" s="5"/>
      <c r="J169" s="5"/>
      <c r="M169" s="5"/>
      <c r="P169" s="5"/>
      <c r="S169" s="5"/>
      <c r="V169" s="5"/>
    </row>
    <row r="170" ht="15.75" customHeight="1">
      <c r="C170" s="5"/>
      <c r="F170" s="5"/>
      <c r="G170" s="5"/>
      <c r="J170" s="5"/>
      <c r="M170" s="5"/>
      <c r="P170" s="5"/>
      <c r="S170" s="5"/>
      <c r="V170" s="5"/>
    </row>
    <row r="171" ht="15.75" customHeight="1">
      <c r="C171" s="5"/>
      <c r="F171" s="5"/>
      <c r="G171" s="5"/>
      <c r="J171" s="5"/>
      <c r="M171" s="5"/>
      <c r="P171" s="5"/>
      <c r="S171" s="5"/>
      <c r="V171" s="5"/>
    </row>
    <row r="172" ht="15.75" customHeight="1">
      <c r="C172" s="5"/>
      <c r="F172" s="5"/>
      <c r="G172" s="5"/>
      <c r="J172" s="5"/>
      <c r="M172" s="5"/>
      <c r="P172" s="5"/>
      <c r="S172" s="5"/>
      <c r="V172" s="5"/>
    </row>
    <row r="173" ht="15.75" customHeight="1">
      <c r="C173" s="5"/>
      <c r="F173" s="5"/>
      <c r="G173" s="5"/>
      <c r="J173" s="5"/>
      <c r="M173" s="5"/>
      <c r="P173" s="5"/>
      <c r="S173" s="5"/>
      <c r="V173" s="5"/>
    </row>
    <row r="174" ht="15.75" customHeight="1">
      <c r="C174" s="5"/>
      <c r="F174" s="5"/>
      <c r="G174" s="5"/>
      <c r="J174" s="5"/>
      <c r="M174" s="5"/>
      <c r="P174" s="5"/>
      <c r="S174" s="5"/>
      <c r="V174" s="5"/>
    </row>
    <row r="175" ht="15.75" customHeight="1">
      <c r="C175" s="5"/>
      <c r="F175" s="5"/>
      <c r="G175" s="5"/>
      <c r="J175" s="5"/>
      <c r="M175" s="5"/>
      <c r="P175" s="5"/>
      <c r="S175" s="5"/>
      <c r="V175" s="5"/>
    </row>
    <row r="176" ht="15.75" customHeight="1">
      <c r="C176" s="5"/>
      <c r="F176" s="5"/>
      <c r="G176" s="5"/>
      <c r="J176" s="5"/>
      <c r="M176" s="5"/>
      <c r="P176" s="5"/>
      <c r="S176" s="5"/>
      <c r="V176" s="5"/>
    </row>
    <row r="177" ht="15.75" customHeight="1">
      <c r="C177" s="5"/>
      <c r="F177" s="5"/>
      <c r="G177" s="5"/>
      <c r="J177" s="5"/>
      <c r="M177" s="5"/>
      <c r="P177" s="5"/>
      <c r="S177" s="5"/>
      <c r="V177" s="5"/>
    </row>
    <row r="178" ht="15.75" customHeight="1">
      <c r="C178" s="5"/>
      <c r="F178" s="5"/>
      <c r="G178" s="5"/>
      <c r="J178" s="5"/>
      <c r="M178" s="5"/>
      <c r="P178" s="5"/>
      <c r="S178" s="5"/>
      <c r="V178" s="5"/>
    </row>
    <row r="179" ht="15.75" customHeight="1">
      <c r="C179" s="5"/>
      <c r="F179" s="5"/>
      <c r="G179" s="5"/>
      <c r="J179" s="5"/>
      <c r="M179" s="5"/>
      <c r="P179" s="5"/>
      <c r="S179" s="5"/>
      <c r="V179" s="5"/>
    </row>
    <row r="180" ht="15.75" customHeight="1">
      <c r="C180" s="5"/>
      <c r="F180" s="5"/>
      <c r="G180" s="5"/>
      <c r="J180" s="5"/>
      <c r="M180" s="5"/>
      <c r="P180" s="5"/>
      <c r="S180" s="5"/>
      <c r="V180" s="5"/>
    </row>
    <row r="181" ht="15.75" customHeight="1">
      <c r="C181" s="5"/>
      <c r="F181" s="5"/>
      <c r="G181" s="5"/>
      <c r="J181" s="5"/>
      <c r="M181" s="5"/>
      <c r="P181" s="5"/>
      <c r="S181" s="5"/>
      <c r="V181" s="5"/>
    </row>
    <row r="182" ht="15.75" customHeight="1">
      <c r="C182" s="5"/>
      <c r="F182" s="5"/>
      <c r="G182" s="5"/>
      <c r="J182" s="5"/>
      <c r="M182" s="5"/>
      <c r="P182" s="5"/>
      <c r="S182" s="5"/>
      <c r="V182" s="5"/>
    </row>
    <row r="183" ht="15.75" customHeight="1">
      <c r="C183" s="5"/>
      <c r="F183" s="5"/>
      <c r="G183" s="5"/>
      <c r="J183" s="5"/>
      <c r="M183" s="5"/>
      <c r="P183" s="5"/>
      <c r="S183" s="5"/>
      <c r="V183" s="5"/>
    </row>
    <row r="184" ht="15.75" customHeight="1">
      <c r="C184" s="5"/>
      <c r="F184" s="5"/>
      <c r="G184" s="5"/>
      <c r="J184" s="5"/>
      <c r="M184" s="5"/>
      <c r="P184" s="5"/>
      <c r="S184" s="5"/>
      <c r="V184" s="5"/>
    </row>
    <row r="185" ht="15.75" customHeight="1">
      <c r="C185" s="5"/>
      <c r="F185" s="5"/>
      <c r="G185" s="5"/>
      <c r="J185" s="5"/>
      <c r="M185" s="5"/>
      <c r="P185" s="5"/>
      <c r="S185" s="5"/>
      <c r="V185" s="5"/>
    </row>
    <row r="186" ht="15.75" customHeight="1">
      <c r="C186" s="5"/>
      <c r="F186" s="5"/>
      <c r="G186" s="5"/>
      <c r="J186" s="5"/>
      <c r="M186" s="5"/>
      <c r="P186" s="5"/>
      <c r="S186" s="5"/>
      <c r="V186" s="5"/>
    </row>
    <row r="187" ht="15.75" customHeight="1">
      <c r="C187" s="5"/>
      <c r="F187" s="5"/>
      <c r="G187" s="5"/>
      <c r="J187" s="5"/>
      <c r="M187" s="5"/>
      <c r="P187" s="5"/>
      <c r="S187" s="5"/>
      <c r="V187" s="5"/>
    </row>
    <row r="188" ht="15.75" customHeight="1">
      <c r="C188" s="5"/>
      <c r="F188" s="5"/>
      <c r="G188" s="5"/>
      <c r="J188" s="5"/>
      <c r="M188" s="5"/>
      <c r="P188" s="5"/>
      <c r="S188" s="5"/>
      <c r="V188" s="5"/>
    </row>
    <row r="189" ht="15.75" customHeight="1">
      <c r="C189" s="5"/>
      <c r="F189" s="5"/>
      <c r="G189" s="5"/>
      <c r="J189" s="5"/>
      <c r="M189" s="5"/>
      <c r="P189" s="5"/>
      <c r="S189" s="5"/>
      <c r="V189" s="5"/>
    </row>
    <row r="190" ht="15.75" customHeight="1">
      <c r="C190" s="5"/>
      <c r="F190" s="5"/>
      <c r="G190" s="5"/>
      <c r="J190" s="5"/>
      <c r="M190" s="5"/>
      <c r="P190" s="5"/>
      <c r="S190" s="5"/>
      <c r="V190" s="5"/>
    </row>
    <row r="191" ht="15.75" customHeight="1">
      <c r="C191" s="5"/>
      <c r="F191" s="5"/>
      <c r="G191" s="5"/>
      <c r="J191" s="5"/>
      <c r="M191" s="5"/>
      <c r="P191" s="5"/>
      <c r="S191" s="5"/>
      <c r="V191" s="5"/>
    </row>
    <row r="192" ht="15.75" customHeight="1">
      <c r="C192" s="5"/>
      <c r="F192" s="5"/>
      <c r="G192" s="5"/>
      <c r="J192" s="5"/>
      <c r="M192" s="5"/>
      <c r="P192" s="5"/>
      <c r="S192" s="5"/>
      <c r="V192" s="5"/>
    </row>
    <row r="193" ht="15.75" customHeight="1">
      <c r="C193" s="5"/>
      <c r="F193" s="5"/>
      <c r="G193" s="5"/>
      <c r="J193" s="5"/>
      <c r="M193" s="5"/>
      <c r="P193" s="5"/>
      <c r="S193" s="5"/>
      <c r="V193" s="5"/>
    </row>
    <row r="194" ht="15.75" customHeight="1">
      <c r="C194" s="5"/>
      <c r="F194" s="5"/>
      <c r="G194" s="5"/>
      <c r="J194" s="5"/>
      <c r="M194" s="5"/>
      <c r="P194" s="5"/>
      <c r="S194" s="5"/>
      <c r="V194" s="5"/>
    </row>
    <row r="195" ht="15.75" customHeight="1">
      <c r="C195" s="5"/>
      <c r="F195" s="5"/>
      <c r="G195" s="5"/>
      <c r="J195" s="5"/>
      <c r="M195" s="5"/>
      <c r="P195" s="5"/>
      <c r="S195" s="5"/>
      <c r="V195" s="5"/>
    </row>
    <row r="196" ht="15.75" customHeight="1">
      <c r="C196" s="5"/>
      <c r="F196" s="5"/>
      <c r="G196" s="5"/>
      <c r="J196" s="5"/>
      <c r="M196" s="5"/>
      <c r="P196" s="5"/>
      <c r="S196" s="5"/>
      <c r="V196" s="5"/>
    </row>
    <row r="197" ht="15.75" customHeight="1">
      <c r="C197" s="5"/>
      <c r="F197" s="5"/>
      <c r="G197" s="5"/>
      <c r="J197" s="5"/>
      <c r="M197" s="5"/>
      <c r="P197" s="5"/>
      <c r="S197" s="5"/>
      <c r="V197" s="5"/>
    </row>
    <row r="198" ht="15.75" customHeight="1">
      <c r="C198" s="5"/>
      <c r="F198" s="5"/>
      <c r="G198" s="5"/>
      <c r="J198" s="5"/>
      <c r="M198" s="5"/>
      <c r="P198" s="5"/>
      <c r="S198" s="5"/>
      <c r="V198" s="5"/>
    </row>
    <row r="199" ht="15.75" customHeight="1">
      <c r="C199" s="5"/>
      <c r="F199" s="5"/>
      <c r="G199" s="5"/>
      <c r="J199" s="5"/>
      <c r="M199" s="5"/>
      <c r="P199" s="5"/>
      <c r="S199" s="5"/>
      <c r="V199" s="5"/>
    </row>
    <row r="200" ht="15.75" customHeight="1">
      <c r="C200" s="5"/>
      <c r="F200" s="5"/>
      <c r="G200" s="5"/>
      <c r="J200" s="5"/>
      <c r="M200" s="5"/>
      <c r="P200" s="5"/>
      <c r="S200" s="5"/>
      <c r="V200" s="5"/>
    </row>
    <row r="201" ht="15.75" customHeight="1">
      <c r="C201" s="5"/>
      <c r="F201" s="5"/>
      <c r="G201" s="5"/>
      <c r="J201" s="5"/>
      <c r="M201" s="5"/>
      <c r="P201" s="5"/>
      <c r="S201" s="5"/>
      <c r="V201" s="5"/>
    </row>
    <row r="202" ht="15.75" customHeight="1">
      <c r="C202" s="5"/>
      <c r="F202" s="5"/>
      <c r="G202" s="5"/>
      <c r="J202" s="5"/>
      <c r="M202" s="5"/>
      <c r="P202" s="5"/>
      <c r="S202" s="5"/>
      <c r="V202" s="5"/>
    </row>
    <row r="203" ht="15.75" customHeight="1">
      <c r="C203" s="5"/>
      <c r="F203" s="5"/>
      <c r="G203" s="5"/>
      <c r="J203" s="5"/>
      <c r="M203" s="5"/>
      <c r="P203" s="5"/>
      <c r="S203" s="5"/>
      <c r="V203" s="5"/>
    </row>
    <row r="204" ht="15.75" customHeight="1">
      <c r="C204" s="5"/>
      <c r="F204" s="5"/>
      <c r="G204" s="5"/>
      <c r="J204" s="5"/>
      <c r="M204" s="5"/>
      <c r="P204" s="5"/>
      <c r="S204" s="5"/>
      <c r="V204" s="5"/>
    </row>
    <row r="205" ht="15.75" customHeight="1">
      <c r="C205" s="5"/>
      <c r="F205" s="5"/>
      <c r="G205" s="5"/>
      <c r="J205" s="5"/>
      <c r="M205" s="5"/>
      <c r="P205" s="5"/>
      <c r="S205" s="5"/>
      <c r="V205" s="5"/>
    </row>
    <row r="206" ht="15.75" customHeight="1">
      <c r="C206" s="5"/>
      <c r="F206" s="5"/>
      <c r="G206" s="5"/>
      <c r="J206" s="5"/>
      <c r="M206" s="5"/>
      <c r="P206" s="5"/>
      <c r="S206" s="5"/>
      <c r="V206" s="5"/>
    </row>
    <row r="207" ht="15.75" customHeight="1">
      <c r="C207" s="5"/>
      <c r="F207" s="5"/>
      <c r="G207" s="5"/>
      <c r="J207" s="5"/>
      <c r="M207" s="5"/>
      <c r="P207" s="5"/>
      <c r="S207" s="5"/>
      <c r="V207" s="5"/>
    </row>
    <row r="208" ht="15.75" customHeight="1">
      <c r="C208" s="5"/>
      <c r="F208" s="5"/>
      <c r="G208" s="5"/>
      <c r="J208" s="5"/>
      <c r="M208" s="5"/>
      <c r="P208" s="5"/>
      <c r="S208" s="5"/>
      <c r="V208" s="5"/>
    </row>
    <row r="209" ht="15.75" customHeight="1">
      <c r="C209" s="5"/>
      <c r="F209" s="5"/>
      <c r="G209" s="5"/>
      <c r="J209" s="5"/>
      <c r="M209" s="5"/>
      <c r="P209" s="5"/>
      <c r="S209" s="5"/>
      <c r="V209" s="5"/>
    </row>
    <row r="210" ht="15.75" customHeight="1">
      <c r="C210" s="5"/>
      <c r="F210" s="5"/>
      <c r="G210" s="5"/>
      <c r="J210" s="5"/>
      <c r="M210" s="5"/>
      <c r="P210" s="5"/>
      <c r="S210" s="5"/>
      <c r="V210" s="5"/>
    </row>
    <row r="211" ht="15.75" customHeight="1">
      <c r="C211" s="5"/>
      <c r="F211" s="5"/>
      <c r="G211" s="5"/>
      <c r="J211" s="5"/>
      <c r="M211" s="5"/>
      <c r="P211" s="5"/>
      <c r="S211" s="5"/>
      <c r="V211" s="5"/>
    </row>
    <row r="212" ht="15.75" customHeight="1">
      <c r="C212" s="5"/>
      <c r="F212" s="5"/>
      <c r="G212" s="5"/>
      <c r="J212" s="5"/>
      <c r="M212" s="5"/>
      <c r="P212" s="5"/>
      <c r="S212" s="5"/>
      <c r="V212" s="5"/>
    </row>
    <row r="213" ht="15.75" customHeight="1">
      <c r="C213" s="5"/>
      <c r="F213" s="5"/>
      <c r="G213" s="5"/>
      <c r="J213" s="5"/>
      <c r="M213" s="5"/>
      <c r="P213" s="5"/>
      <c r="S213" s="5"/>
      <c r="V213" s="5"/>
    </row>
    <row r="214" ht="15.75" customHeight="1">
      <c r="C214" s="5"/>
      <c r="F214" s="5"/>
      <c r="G214" s="5"/>
      <c r="J214" s="5"/>
      <c r="M214" s="5"/>
      <c r="P214" s="5"/>
      <c r="S214" s="5"/>
      <c r="V214" s="5"/>
    </row>
    <row r="215" ht="15.75" customHeight="1">
      <c r="C215" s="5"/>
      <c r="F215" s="5"/>
      <c r="G215" s="5"/>
      <c r="J215" s="5"/>
      <c r="M215" s="5"/>
      <c r="P215" s="5"/>
      <c r="S215" s="5"/>
      <c r="V215" s="5"/>
    </row>
    <row r="216" ht="15.75" customHeight="1">
      <c r="C216" s="5"/>
      <c r="F216" s="5"/>
      <c r="G216" s="5"/>
      <c r="J216" s="5"/>
      <c r="M216" s="5"/>
      <c r="P216" s="5"/>
      <c r="S216" s="5"/>
      <c r="V216" s="5"/>
    </row>
    <row r="217" ht="15.75" customHeight="1">
      <c r="C217" s="5"/>
      <c r="F217" s="5"/>
      <c r="G217" s="5"/>
      <c r="J217" s="5"/>
      <c r="M217" s="5"/>
      <c r="P217" s="5"/>
      <c r="S217" s="5"/>
      <c r="V217" s="5"/>
    </row>
    <row r="218" ht="15.75" customHeight="1">
      <c r="C218" s="5"/>
      <c r="F218" s="5"/>
      <c r="G218" s="5"/>
      <c r="J218" s="5"/>
      <c r="M218" s="5"/>
      <c r="P218" s="5"/>
      <c r="S218" s="5"/>
      <c r="V218" s="5"/>
    </row>
    <row r="219" ht="15.75" customHeight="1">
      <c r="C219" s="5"/>
      <c r="F219" s="5"/>
      <c r="G219" s="5"/>
      <c r="J219" s="5"/>
      <c r="M219" s="5"/>
      <c r="P219" s="5"/>
      <c r="S219" s="5"/>
      <c r="V219" s="5"/>
    </row>
    <row r="220" ht="15.75" customHeight="1">
      <c r="C220" s="5"/>
      <c r="F220" s="5"/>
      <c r="G220" s="5"/>
      <c r="J220" s="5"/>
      <c r="M220" s="5"/>
      <c r="P220" s="5"/>
      <c r="S220" s="5"/>
      <c r="V220" s="5"/>
    </row>
    <row r="221" ht="15.75" customHeight="1">
      <c r="C221" s="5"/>
      <c r="F221" s="5"/>
      <c r="G221" s="5"/>
      <c r="J221" s="5"/>
      <c r="M221" s="5"/>
      <c r="P221" s="5"/>
      <c r="S221" s="5"/>
      <c r="V221" s="5"/>
    </row>
    <row r="222" ht="15.75" customHeight="1">
      <c r="C222" s="5"/>
      <c r="F222" s="5"/>
      <c r="G222" s="5"/>
      <c r="J222" s="5"/>
      <c r="M222" s="5"/>
      <c r="P222" s="5"/>
      <c r="S222" s="5"/>
      <c r="V222" s="5"/>
    </row>
    <row r="223" ht="15.75" customHeight="1">
      <c r="C223" s="5"/>
      <c r="F223" s="5"/>
      <c r="G223" s="5"/>
      <c r="J223" s="5"/>
      <c r="M223" s="5"/>
      <c r="P223" s="5"/>
      <c r="S223" s="5"/>
      <c r="V223" s="5"/>
    </row>
    <row r="224" ht="15.75" customHeight="1">
      <c r="C224" s="5"/>
      <c r="F224" s="5"/>
      <c r="G224" s="5"/>
      <c r="J224" s="5"/>
      <c r="M224" s="5"/>
      <c r="P224" s="5"/>
      <c r="S224" s="5"/>
      <c r="V224" s="5"/>
    </row>
    <row r="225" ht="15.75" customHeight="1">
      <c r="C225" s="5"/>
      <c r="F225" s="5"/>
      <c r="G225" s="5"/>
      <c r="J225" s="5"/>
      <c r="M225" s="5"/>
      <c r="P225" s="5"/>
      <c r="S225" s="5"/>
      <c r="V225" s="5"/>
    </row>
    <row r="226" ht="15.75" customHeight="1">
      <c r="C226" s="5"/>
      <c r="F226" s="5"/>
      <c r="G226" s="5"/>
      <c r="J226" s="5"/>
      <c r="M226" s="5"/>
      <c r="P226" s="5"/>
      <c r="S226" s="5"/>
      <c r="V226" s="5"/>
    </row>
    <row r="227" ht="15.75" customHeight="1">
      <c r="C227" s="5"/>
      <c r="F227" s="5"/>
      <c r="G227" s="5"/>
      <c r="J227" s="5"/>
      <c r="M227" s="5"/>
      <c r="P227" s="5"/>
      <c r="S227" s="5"/>
      <c r="V227" s="5"/>
    </row>
    <row r="228" ht="15.75" customHeight="1">
      <c r="C228" s="5"/>
      <c r="F228" s="5"/>
      <c r="G228" s="5"/>
      <c r="J228" s="5"/>
      <c r="M228" s="5"/>
      <c r="P228" s="5"/>
      <c r="S228" s="5"/>
      <c r="V228" s="5"/>
    </row>
    <row r="229" ht="15.75" customHeight="1">
      <c r="C229" s="5"/>
      <c r="F229" s="5"/>
      <c r="G229" s="5"/>
      <c r="J229" s="5"/>
      <c r="M229" s="5"/>
      <c r="P229" s="5"/>
      <c r="S229" s="5"/>
      <c r="V229" s="5"/>
    </row>
    <row r="230" ht="15.75" customHeight="1">
      <c r="C230" s="5"/>
      <c r="F230" s="5"/>
      <c r="G230" s="5"/>
      <c r="J230" s="5"/>
      <c r="M230" s="5"/>
      <c r="P230" s="5"/>
      <c r="S230" s="5"/>
      <c r="V230" s="5"/>
    </row>
    <row r="231" ht="15.75" customHeight="1">
      <c r="C231" s="5"/>
      <c r="F231" s="5"/>
      <c r="G231" s="5"/>
      <c r="J231" s="5"/>
      <c r="M231" s="5"/>
      <c r="P231" s="5"/>
      <c r="S231" s="5"/>
      <c r="V231" s="5"/>
    </row>
    <row r="232" ht="15.75" customHeight="1">
      <c r="C232" s="5"/>
      <c r="F232" s="5"/>
      <c r="G232" s="5"/>
      <c r="J232" s="5"/>
      <c r="M232" s="5"/>
      <c r="P232" s="5"/>
      <c r="S232" s="5"/>
      <c r="V232" s="5"/>
    </row>
    <row r="233" ht="15.75" customHeight="1">
      <c r="C233" s="5"/>
      <c r="F233" s="5"/>
      <c r="G233" s="5"/>
      <c r="J233" s="5"/>
      <c r="M233" s="5"/>
      <c r="P233" s="5"/>
      <c r="S233" s="5"/>
      <c r="V233" s="5"/>
    </row>
    <row r="234" ht="15.75" customHeight="1">
      <c r="C234" s="5"/>
      <c r="F234" s="5"/>
      <c r="G234" s="5"/>
      <c r="J234" s="5"/>
      <c r="M234" s="5"/>
      <c r="P234" s="5"/>
      <c r="S234" s="5"/>
      <c r="V234" s="5"/>
    </row>
    <row r="235" ht="15.75" customHeight="1">
      <c r="C235" s="5"/>
      <c r="F235" s="5"/>
      <c r="G235" s="5"/>
      <c r="J235" s="5"/>
      <c r="M235" s="5"/>
      <c r="P235" s="5"/>
      <c r="S235" s="5"/>
      <c r="V235" s="5"/>
    </row>
    <row r="236" ht="15.75" customHeight="1">
      <c r="C236" s="5"/>
      <c r="F236" s="5"/>
      <c r="G236" s="5"/>
      <c r="J236" s="5"/>
      <c r="M236" s="5"/>
      <c r="P236" s="5"/>
      <c r="S236" s="5"/>
      <c r="V236" s="5"/>
    </row>
    <row r="237" ht="15.75" customHeight="1">
      <c r="C237" s="5"/>
      <c r="F237" s="5"/>
      <c r="G237" s="5"/>
      <c r="J237" s="5"/>
      <c r="M237" s="5"/>
      <c r="P237" s="5"/>
      <c r="S237" s="5"/>
      <c r="V237" s="5"/>
    </row>
    <row r="238" ht="15.75" customHeight="1">
      <c r="C238" s="5"/>
      <c r="F238" s="5"/>
      <c r="G238" s="5"/>
      <c r="J238" s="5"/>
      <c r="M238" s="5"/>
      <c r="P238" s="5"/>
      <c r="S238" s="5"/>
      <c r="V238" s="5"/>
    </row>
    <row r="239" ht="15.75" customHeight="1">
      <c r="C239" s="5"/>
      <c r="F239" s="5"/>
      <c r="G239" s="5"/>
      <c r="J239" s="5"/>
      <c r="M239" s="5"/>
      <c r="P239" s="5"/>
      <c r="S239" s="5"/>
      <c r="V239" s="5"/>
    </row>
    <row r="240" ht="15.75" customHeight="1">
      <c r="C240" s="5"/>
      <c r="F240" s="5"/>
      <c r="G240" s="5"/>
      <c r="J240" s="5"/>
      <c r="M240" s="5"/>
      <c r="P240" s="5"/>
      <c r="S240" s="5"/>
      <c r="V240" s="5"/>
    </row>
    <row r="241" ht="15.75" customHeight="1">
      <c r="C241" s="5"/>
      <c r="F241" s="5"/>
      <c r="G241" s="5"/>
      <c r="J241" s="5"/>
      <c r="M241" s="5"/>
      <c r="P241" s="5"/>
      <c r="S241" s="5"/>
      <c r="V241" s="5"/>
    </row>
    <row r="242" ht="15.75" customHeight="1">
      <c r="C242" s="5"/>
      <c r="F242" s="5"/>
      <c r="G242" s="5"/>
      <c r="J242" s="5"/>
      <c r="M242" s="5"/>
      <c r="P242" s="5"/>
      <c r="S242" s="5"/>
      <c r="V242" s="5"/>
    </row>
    <row r="243" ht="15.75" customHeight="1">
      <c r="C243" s="5"/>
      <c r="F243" s="5"/>
      <c r="G243" s="5"/>
      <c r="J243" s="5"/>
      <c r="M243" s="5"/>
      <c r="P243" s="5"/>
      <c r="S243" s="5"/>
      <c r="V243" s="5"/>
    </row>
    <row r="244" ht="15.75" customHeight="1">
      <c r="C244" s="5"/>
      <c r="F244" s="5"/>
      <c r="G244" s="5"/>
      <c r="J244" s="5"/>
      <c r="M244" s="5"/>
      <c r="P244" s="5"/>
      <c r="S244" s="5"/>
      <c r="V244" s="5"/>
    </row>
    <row r="245" ht="15.75" customHeight="1">
      <c r="C245" s="5"/>
      <c r="F245" s="5"/>
      <c r="G245" s="5"/>
      <c r="J245" s="5"/>
      <c r="M245" s="5"/>
      <c r="P245" s="5"/>
      <c r="S245" s="5"/>
      <c r="V245" s="5"/>
    </row>
    <row r="246" ht="15.75" customHeight="1">
      <c r="C246" s="5"/>
      <c r="F246" s="5"/>
      <c r="G246" s="5"/>
      <c r="J246" s="5"/>
      <c r="M246" s="5"/>
      <c r="P246" s="5"/>
      <c r="S246" s="5"/>
      <c r="V246" s="5"/>
    </row>
    <row r="247" ht="15.75" customHeight="1">
      <c r="C247" s="5"/>
      <c r="F247" s="5"/>
      <c r="G247" s="5"/>
      <c r="J247" s="5"/>
      <c r="M247" s="5"/>
      <c r="P247" s="5"/>
      <c r="S247" s="5"/>
      <c r="V247" s="5"/>
    </row>
    <row r="248" ht="15.75" customHeight="1">
      <c r="C248" s="5"/>
      <c r="F248" s="5"/>
      <c r="G248" s="5"/>
      <c r="J248" s="5"/>
      <c r="M248" s="5"/>
      <c r="P248" s="5"/>
      <c r="S248" s="5"/>
      <c r="V248" s="5"/>
    </row>
    <row r="249" ht="15.75" customHeight="1">
      <c r="C249" s="5"/>
      <c r="F249" s="5"/>
      <c r="G249" s="5"/>
      <c r="J249" s="5"/>
      <c r="M249" s="5"/>
      <c r="P249" s="5"/>
      <c r="S249" s="5"/>
      <c r="V249" s="5"/>
    </row>
    <row r="250" ht="15.75" customHeight="1">
      <c r="C250" s="5"/>
      <c r="F250" s="5"/>
      <c r="G250" s="5"/>
      <c r="J250" s="5"/>
      <c r="M250" s="5"/>
      <c r="P250" s="5"/>
      <c r="S250" s="5"/>
      <c r="V250" s="5"/>
    </row>
    <row r="251" ht="15.75" customHeight="1">
      <c r="C251" s="5"/>
      <c r="F251" s="5"/>
      <c r="G251" s="5"/>
      <c r="J251" s="5"/>
      <c r="M251" s="5"/>
      <c r="P251" s="5"/>
      <c r="S251" s="5"/>
      <c r="V251" s="5"/>
    </row>
    <row r="252" ht="15.75" customHeight="1">
      <c r="C252" s="5"/>
      <c r="F252" s="5"/>
      <c r="G252" s="5"/>
      <c r="J252" s="5"/>
      <c r="M252" s="5"/>
      <c r="P252" s="5"/>
      <c r="S252" s="5"/>
      <c r="V252" s="5"/>
    </row>
    <row r="253" ht="15.75" customHeight="1">
      <c r="C253" s="5"/>
      <c r="F253" s="5"/>
      <c r="G253" s="5"/>
      <c r="J253" s="5"/>
      <c r="M253" s="5"/>
      <c r="P253" s="5"/>
      <c r="S253" s="5"/>
      <c r="V253" s="5"/>
    </row>
    <row r="254" ht="15.75" customHeight="1">
      <c r="C254" s="5"/>
      <c r="F254" s="5"/>
      <c r="G254" s="5"/>
      <c r="J254" s="5"/>
      <c r="M254" s="5"/>
      <c r="P254" s="5"/>
      <c r="S254" s="5"/>
      <c r="V254" s="5"/>
    </row>
    <row r="255" ht="15.75" customHeight="1">
      <c r="C255" s="5"/>
      <c r="F255" s="5"/>
      <c r="G255" s="5"/>
      <c r="J255" s="5"/>
      <c r="M255" s="5"/>
      <c r="P255" s="5"/>
      <c r="S255" s="5"/>
      <c r="V255" s="5"/>
    </row>
    <row r="256" ht="15.75" customHeight="1">
      <c r="C256" s="5"/>
      <c r="F256" s="5"/>
      <c r="G256" s="5"/>
      <c r="J256" s="5"/>
      <c r="M256" s="5"/>
      <c r="P256" s="5"/>
      <c r="S256" s="5"/>
      <c r="V256" s="5"/>
    </row>
    <row r="257" ht="15.75" customHeight="1">
      <c r="C257" s="5"/>
      <c r="F257" s="5"/>
      <c r="G257" s="5"/>
      <c r="J257" s="5"/>
      <c r="M257" s="5"/>
      <c r="P257" s="5"/>
      <c r="S257" s="5"/>
      <c r="V257" s="5"/>
    </row>
    <row r="258" ht="15.75" customHeight="1">
      <c r="C258" s="5"/>
      <c r="F258" s="5"/>
      <c r="G258" s="5"/>
      <c r="J258" s="5"/>
      <c r="M258" s="5"/>
      <c r="P258" s="5"/>
      <c r="S258" s="5"/>
      <c r="V258" s="5"/>
    </row>
    <row r="259" ht="15.75" customHeight="1">
      <c r="C259" s="5"/>
      <c r="F259" s="5"/>
      <c r="G259" s="5"/>
      <c r="J259" s="5"/>
      <c r="M259" s="5"/>
      <c r="P259" s="5"/>
      <c r="S259" s="5"/>
      <c r="V259" s="5"/>
    </row>
    <row r="260" ht="15.75" customHeight="1">
      <c r="C260" s="5"/>
      <c r="F260" s="5"/>
      <c r="G260" s="5"/>
      <c r="J260" s="5"/>
      <c r="M260" s="5"/>
      <c r="P260" s="5"/>
      <c r="S260" s="5"/>
      <c r="V260" s="5"/>
    </row>
    <row r="261" ht="15.75" customHeight="1">
      <c r="C261" s="5"/>
      <c r="F261" s="5"/>
      <c r="G261" s="5"/>
      <c r="J261" s="5"/>
      <c r="M261" s="5"/>
      <c r="P261" s="5"/>
      <c r="S261" s="5"/>
      <c r="V261" s="5"/>
    </row>
    <row r="262" ht="15.75" customHeight="1">
      <c r="C262" s="5"/>
      <c r="F262" s="5"/>
      <c r="G262" s="5"/>
      <c r="J262" s="5"/>
      <c r="M262" s="5"/>
      <c r="P262" s="5"/>
      <c r="S262" s="5"/>
      <c r="V262" s="5"/>
    </row>
    <row r="263" ht="15.75" customHeight="1">
      <c r="C263" s="5"/>
      <c r="F263" s="5"/>
      <c r="G263" s="5"/>
      <c r="J263" s="5"/>
      <c r="M263" s="5"/>
      <c r="P263" s="5"/>
      <c r="S263" s="5"/>
      <c r="V263" s="5"/>
    </row>
    <row r="264" ht="15.75" customHeight="1">
      <c r="C264" s="5"/>
      <c r="F264" s="5"/>
      <c r="G264" s="5"/>
      <c r="J264" s="5"/>
      <c r="M264" s="5"/>
      <c r="P264" s="5"/>
      <c r="S264" s="5"/>
      <c r="V264" s="5"/>
    </row>
    <row r="265" ht="15.75" customHeight="1">
      <c r="C265" s="5"/>
      <c r="F265" s="5"/>
      <c r="G265" s="5"/>
      <c r="J265" s="5"/>
      <c r="M265" s="5"/>
      <c r="P265" s="5"/>
      <c r="S265" s="5"/>
      <c r="V265" s="5"/>
    </row>
    <row r="266" ht="15.75" customHeight="1">
      <c r="C266" s="5"/>
      <c r="F266" s="5"/>
      <c r="G266" s="5"/>
      <c r="J266" s="5"/>
      <c r="M266" s="5"/>
      <c r="P266" s="5"/>
      <c r="S266" s="5"/>
      <c r="V266" s="5"/>
    </row>
    <row r="267" ht="15.75" customHeight="1">
      <c r="C267" s="5"/>
      <c r="F267" s="5"/>
      <c r="G267" s="5"/>
      <c r="J267" s="5"/>
      <c r="M267" s="5"/>
      <c r="P267" s="5"/>
      <c r="S267" s="5"/>
      <c r="V267" s="5"/>
    </row>
    <row r="268" ht="15.75" customHeight="1">
      <c r="C268" s="5"/>
      <c r="F268" s="5"/>
      <c r="G268" s="5"/>
      <c r="J268" s="5"/>
      <c r="M268" s="5"/>
      <c r="P268" s="5"/>
      <c r="S268" s="5"/>
      <c r="V268" s="5"/>
    </row>
    <row r="269" ht="15.75" customHeight="1">
      <c r="C269" s="5"/>
      <c r="F269" s="5"/>
      <c r="G269" s="5"/>
      <c r="J269" s="5"/>
      <c r="M269" s="5"/>
      <c r="P269" s="5"/>
      <c r="S269" s="5"/>
      <c r="V269" s="5"/>
    </row>
    <row r="270" ht="15.75" customHeight="1">
      <c r="C270" s="5"/>
      <c r="F270" s="5"/>
      <c r="G270" s="5"/>
      <c r="J270" s="5"/>
      <c r="M270" s="5"/>
      <c r="P270" s="5"/>
      <c r="S270" s="5"/>
      <c r="V270" s="5"/>
    </row>
    <row r="271" ht="15.75" customHeight="1">
      <c r="C271" s="5"/>
      <c r="F271" s="5"/>
      <c r="G271" s="5"/>
      <c r="J271" s="5"/>
      <c r="M271" s="5"/>
      <c r="P271" s="5"/>
      <c r="S271" s="5"/>
      <c r="V271" s="5"/>
    </row>
    <row r="272" ht="15.75" customHeight="1">
      <c r="C272" s="5"/>
      <c r="F272" s="5"/>
      <c r="G272" s="5"/>
      <c r="J272" s="5"/>
      <c r="M272" s="5"/>
      <c r="P272" s="5"/>
      <c r="S272" s="5"/>
      <c r="V272" s="5"/>
    </row>
    <row r="273" ht="15.75" customHeight="1">
      <c r="C273" s="5"/>
      <c r="F273" s="5"/>
      <c r="G273" s="5"/>
      <c r="J273" s="5"/>
      <c r="M273" s="5"/>
      <c r="P273" s="5"/>
      <c r="S273" s="5"/>
      <c r="V273" s="5"/>
    </row>
    <row r="274" ht="15.75" customHeight="1">
      <c r="C274" s="5"/>
      <c r="F274" s="5"/>
      <c r="G274" s="5"/>
      <c r="J274" s="5"/>
      <c r="M274" s="5"/>
      <c r="P274" s="5"/>
      <c r="S274" s="5"/>
      <c r="V274" s="5"/>
    </row>
    <row r="275" ht="15.75" customHeight="1">
      <c r="C275" s="5"/>
      <c r="F275" s="5"/>
      <c r="G275" s="5"/>
      <c r="J275" s="5"/>
      <c r="M275" s="5"/>
      <c r="P275" s="5"/>
      <c r="S275" s="5"/>
      <c r="V275" s="5"/>
    </row>
    <row r="276" ht="15.75" customHeight="1">
      <c r="C276" s="5"/>
      <c r="F276" s="5"/>
      <c r="G276" s="5"/>
      <c r="J276" s="5"/>
      <c r="M276" s="5"/>
      <c r="P276" s="5"/>
      <c r="S276" s="5"/>
      <c r="V276" s="5"/>
    </row>
    <row r="277" ht="15.75" customHeight="1">
      <c r="C277" s="5"/>
      <c r="F277" s="5"/>
      <c r="G277" s="5"/>
      <c r="J277" s="5"/>
      <c r="M277" s="5"/>
      <c r="P277" s="5"/>
      <c r="S277" s="5"/>
      <c r="V277" s="5"/>
    </row>
    <row r="278" ht="15.75" customHeight="1">
      <c r="C278" s="5"/>
      <c r="F278" s="5"/>
      <c r="G278" s="5"/>
      <c r="J278" s="5"/>
      <c r="M278" s="5"/>
      <c r="P278" s="5"/>
      <c r="S278" s="5"/>
      <c r="V278" s="5"/>
    </row>
    <row r="279" ht="15.75" customHeight="1">
      <c r="C279" s="5"/>
      <c r="F279" s="5"/>
      <c r="G279" s="5"/>
      <c r="J279" s="5"/>
      <c r="M279" s="5"/>
      <c r="P279" s="5"/>
      <c r="S279" s="5"/>
      <c r="V279" s="5"/>
    </row>
    <row r="280" ht="15.75" customHeight="1">
      <c r="C280" s="5"/>
      <c r="F280" s="5"/>
      <c r="G280" s="5"/>
      <c r="J280" s="5"/>
      <c r="M280" s="5"/>
      <c r="P280" s="5"/>
      <c r="S280" s="5"/>
      <c r="V280" s="5"/>
    </row>
    <row r="281" ht="15.75" customHeight="1">
      <c r="C281" s="5"/>
      <c r="F281" s="5"/>
      <c r="G281" s="5"/>
      <c r="J281" s="5"/>
      <c r="M281" s="5"/>
      <c r="P281" s="5"/>
      <c r="S281" s="5"/>
      <c r="V281" s="5"/>
    </row>
    <row r="282" ht="15.75" customHeight="1">
      <c r="C282" s="5"/>
      <c r="F282" s="5"/>
      <c r="G282" s="5"/>
      <c r="J282" s="5"/>
      <c r="M282" s="5"/>
      <c r="P282" s="5"/>
      <c r="S282" s="5"/>
      <c r="V282" s="5"/>
    </row>
    <row r="283" ht="15.75" customHeight="1">
      <c r="C283" s="5"/>
      <c r="F283" s="5"/>
      <c r="G283" s="5"/>
      <c r="J283" s="5"/>
      <c r="M283" s="5"/>
      <c r="P283" s="5"/>
      <c r="S283" s="5"/>
      <c r="V283" s="5"/>
    </row>
    <row r="284" ht="15.75" customHeight="1">
      <c r="C284" s="5"/>
      <c r="F284" s="5"/>
      <c r="G284" s="5"/>
      <c r="J284" s="5"/>
      <c r="M284" s="5"/>
      <c r="P284" s="5"/>
      <c r="S284" s="5"/>
      <c r="V284" s="5"/>
    </row>
    <row r="285" ht="15.75" customHeight="1">
      <c r="C285" s="5"/>
      <c r="F285" s="5"/>
      <c r="G285" s="5"/>
      <c r="J285" s="5"/>
      <c r="M285" s="5"/>
      <c r="P285" s="5"/>
      <c r="S285" s="5"/>
      <c r="V285" s="5"/>
    </row>
    <row r="286" ht="15.75" customHeight="1">
      <c r="C286" s="5"/>
      <c r="F286" s="5"/>
      <c r="G286" s="5"/>
      <c r="J286" s="5"/>
      <c r="M286" s="5"/>
      <c r="P286" s="5"/>
      <c r="S286" s="5"/>
      <c r="V286" s="5"/>
    </row>
    <row r="287" ht="15.75" customHeight="1">
      <c r="C287" s="5"/>
      <c r="F287" s="5"/>
      <c r="G287" s="5"/>
      <c r="J287" s="5"/>
      <c r="M287" s="5"/>
      <c r="P287" s="5"/>
      <c r="S287" s="5"/>
      <c r="V287" s="5"/>
    </row>
    <row r="288" ht="15.75" customHeight="1">
      <c r="C288" s="5"/>
      <c r="F288" s="5"/>
      <c r="G288" s="5"/>
      <c r="J288" s="5"/>
      <c r="M288" s="5"/>
      <c r="P288" s="5"/>
      <c r="S288" s="5"/>
      <c r="V288" s="5"/>
    </row>
    <row r="289" ht="15.75" customHeight="1">
      <c r="C289" s="5"/>
      <c r="F289" s="5"/>
      <c r="G289" s="5"/>
      <c r="J289" s="5"/>
      <c r="M289" s="5"/>
      <c r="P289" s="5"/>
      <c r="S289" s="5"/>
      <c r="V289" s="5"/>
    </row>
    <row r="290" ht="15.75" customHeight="1">
      <c r="C290" s="5"/>
      <c r="F290" s="5"/>
      <c r="G290" s="5"/>
      <c r="J290" s="5"/>
      <c r="M290" s="5"/>
      <c r="P290" s="5"/>
      <c r="S290" s="5"/>
      <c r="V290" s="5"/>
    </row>
    <row r="291" ht="15.75" customHeight="1">
      <c r="C291" s="5"/>
      <c r="F291" s="5"/>
      <c r="G291" s="5"/>
      <c r="J291" s="5"/>
      <c r="M291" s="5"/>
      <c r="P291" s="5"/>
      <c r="S291" s="5"/>
      <c r="V291" s="5"/>
    </row>
    <row r="292" ht="15.75" customHeight="1">
      <c r="C292" s="5"/>
      <c r="F292" s="5"/>
      <c r="G292" s="5"/>
      <c r="J292" s="5"/>
      <c r="M292" s="5"/>
      <c r="P292" s="5"/>
      <c r="S292" s="5"/>
      <c r="V292" s="5"/>
    </row>
    <row r="293" ht="15.75" customHeight="1">
      <c r="C293" s="5"/>
      <c r="F293" s="5"/>
      <c r="G293" s="5"/>
      <c r="J293" s="5"/>
      <c r="M293" s="5"/>
      <c r="P293" s="5"/>
      <c r="S293" s="5"/>
      <c r="V293" s="5"/>
    </row>
    <row r="294" ht="15.75" customHeight="1">
      <c r="C294" s="5"/>
      <c r="F294" s="5"/>
      <c r="G294" s="5"/>
      <c r="J294" s="5"/>
      <c r="M294" s="5"/>
      <c r="P294" s="5"/>
      <c r="S294" s="5"/>
      <c r="V294" s="5"/>
    </row>
    <row r="295" ht="15.75" customHeight="1">
      <c r="C295" s="5"/>
      <c r="F295" s="5"/>
      <c r="G295" s="5"/>
      <c r="J295" s="5"/>
      <c r="M295" s="5"/>
      <c r="P295" s="5"/>
      <c r="S295" s="5"/>
      <c r="V295" s="5"/>
    </row>
    <row r="296" ht="15.75" customHeight="1">
      <c r="C296" s="5"/>
      <c r="F296" s="5"/>
      <c r="G296" s="5"/>
      <c r="J296" s="5"/>
      <c r="M296" s="5"/>
      <c r="P296" s="5"/>
      <c r="S296" s="5"/>
      <c r="V296" s="5"/>
    </row>
    <row r="297" ht="15.75" customHeight="1">
      <c r="C297" s="5"/>
      <c r="F297" s="5"/>
      <c r="G297" s="5"/>
      <c r="J297" s="5"/>
      <c r="M297" s="5"/>
      <c r="P297" s="5"/>
      <c r="S297" s="5"/>
      <c r="V297" s="5"/>
    </row>
    <row r="298" ht="15.75" customHeight="1">
      <c r="C298" s="5"/>
      <c r="F298" s="5"/>
      <c r="G298" s="5"/>
      <c r="J298" s="5"/>
      <c r="M298" s="5"/>
      <c r="P298" s="5"/>
      <c r="S298" s="5"/>
      <c r="V298" s="5"/>
    </row>
    <row r="299" ht="15.75" customHeight="1">
      <c r="C299" s="5"/>
      <c r="F299" s="5"/>
      <c r="G299" s="5"/>
      <c r="J299" s="5"/>
      <c r="M299" s="5"/>
      <c r="P299" s="5"/>
      <c r="S299" s="5"/>
      <c r="V299" s="5"/>
    </row>
    <row r="300" ht="15.75" customHeight="1">
      <c r="C300" s="5"/>
      <c r="F300" s="5"/>
      <c r="G300" s="5"/>
      <c r="J300" s="5"/>
      <c r="M300" s="5"/>
      <c r="P300" s="5"/>
      <c r="S300" s="5"/>
      <c r="V300" s="5"/>
    </row>
    <row r="301" ht="15.75" customHeight="1">
      <c r="C301" s="5"/>
      <c r="F301" s="5"/>
      <c r="G301" s="5"/>
      <c r="J301" s="5"/>
      <c r="M301" s="5"/>
      <c r="P301" s="5"/>
      <c r="S301" s="5"/>
      <c r="V301" s="5"/>
    </row>
    <row r="302" ht="15.75" customHeight="1">
      <c r="C302" s="5"/>
      <c r="F302" s="5"/>
      <c r="G302" s="5"/>
      <c r="J302" s="5"/>
      <c r="M302" s="5"/>
      <c r="P302" s="5"/>
      <c r="S302" s="5"/>
      <c r="V302" s="5"/>
    </row>
    <row r="303" ht="15.75" customHeight="1">
      <c r="C303" s="5"/>
      <c r="F303" s="5"/>
      <c r="G303" s="5"/>
      <c r="J303" s="5"/>
      <c r="M303" s="5"/>
      <c r="P303" s="5"/>
      <c r="S303" s="5"/>
      <c r="V303" s="5"/>
    </row>
    <row r="304" ht="15.75" customHeight="1">
      <c r="C304" s="5"/>
      <c r="F304" s="5"/>
      <c r="G304" s="5"/>
      <c r="J304" s="5"/>
      <c r="M304" s="5"/>
      <c r="P304" s="5"/>
      <c r="S304" s="5"/>
      <c r="V304" s="5"/>
    </row>
    <row r="305" ht="15.75" customHeight="1">
      <c r="C305" s="5"/>
      <c r="F305" s="5"/>
      <c r="G305" s="5"/>
      <c r="J305" s="5"/>
      <c r="M305" s="5"/>
      <c r="P305" s="5"/>
      <c r="S305" s="5"/>
      <c r="V305" s="5"/>
    </row>
    <row r="306" ht="15.75" customHeight="1">
      <c r="C306" s="5"/>
      <c r="F306" s="5"/>
      <c r="G306" s="5"/>
      <c r="J306" s="5"/>
      <c r="M306" s="5"/>
      <c r="P306" s="5"/>
      <c r="S306" s="5"/>
      <c r="V306" s="5"/>
    </row>
    <row r="307" ht="15.75" customHeight="1">
      <c r="C307" s="5"/>
      <c r="F307" s="5"/>
      <c r="G307" s="5"/>
      <c r="J307" s="5"/>
      <c r="M307" s="5"/>
      <c r="P307" s="5"/>
      <c r="S307" s="5"/>
      <c r="V307" s="5"/>
    </row>
    <row r="308" ht="15.75" customHeight="1">
      <c r="C308" s="5"/>
      <c r="F308" s="5"/>
      <c r="G308" s="5"/>
      <c r="J308" s="5"/>
      <c r="M308" s="5"/>
      <c r="P308" s="5"/>
      <c r="S308" s="5"/>
      <c r="V308" s="5"/>
    </row>
    <row r="309" ht="15.75" customHeight="1">
      <c r="C309" s="5"/>
      <c r="F309" s="5"/>
      <c r="G309" s="5"/>
      <c r="J309" s="5"/>
      <c r="M309" s="5"/>
      <c r="P309" s="5"/>
      <c r="S309" s="5"/>
      <c r="V309" s="5"/>
    </row>
    <row r="310" ht="15.75" customHeight="1">
      <c r="C310" s="5"/>
      <c r="F310" s="5"/>
      <c r="G310" s="5"/>
      <c r="J310" s="5"/>
      <c r="M310" s="5"/>
      <c r="P310" s="5"/>
      <c r="S310" s="5"/>
      <c r="V310" s="5"/>
    </row>
    <row r="311" ht="15.75" customHeight="1">
      <c r="C311" s="5"/>
      <c r="F311" s="5"/>
      <c r="G311" s="5"/>
      <c r="J311" s="5"/>
      <c r="M311" s="5"/>
      <c r="P311" s="5"/>
      <c r="S311" s="5"/>
      <c r="V311" s="5"/>
    </row>
    <row r="312" ht="15.75" customHeight="1">
      <c r="C312" s="5"/>
      <c r="F312" s="5"/>
      <c r="G312" s="5"/>
      <c r="J312" s="5"/>
      <c r="M312" s="5"/>
      <c r="P312" s="5"/>
      <c r="S312" s="5"/>
      <c r="V312" s="5"/>
    </row>
    <row r="313" ht="15.75" customHeight="1">
      <c r="C313" s="5"/>
      <c r="F313" s="5"/>
      <c r="G313" s="5"/>
      <c r="J313" s="5"/>
      <c r="M313" s="5"/>
      <c r="P313" s="5"/>
      <c r="S313" s="5"/>
      <c r="V313" s="5"/>
    </row>
    <row r="314" ht="15.75" customHeight="1">
      <c r="C314" s="5"/>
      <c r="F314" s="5"/>
      <c r="G314" s="5"/>
      <c r="J314" s="5"/>
      <c r="M314" s="5"/>
      <c r="P314" s="5"/>
      <c r="S314" s="5"/>
      <c r="V314" s="5"/>
    </row>
    <row r="315" ht="15.75" customHeight="1">
      <c r="C315" s="5"/>
      <c r="F315" s="5"/>
      <c r="G315" s="5"/>
      <c r="J315" s="5"/>
      <c r="M315" s="5"/>
      <c r="P315" s="5"/>
      <c r="S315" s="5"/>
      <c r="V315" s="5"/>
    </row>
    <row r="316" ht="15.75" customHeight="1">
      <c r="C316" s="5"/>
      <c r="F316" s="5"/>
      <c r="G316" s="5"/>
      <c r="J316" s="5"/>
      <c r="M316" s="5"/>
      <c r="P316" s="5"/>
      <c r="S316" s="5"/>
      <c r="V316" s="5"/>
    </row>
    <row r="317" ht="15.75" customHeight="1">
      <c r="C317" s="5"/>
      <c r="F317" s="5"/>
      <c r="G317" s="5"/>
      <c r="J317" s="5"/>
      <c r="M317" s="5"/>
      <c r="P317" s="5"/>
      <c r="S317" s="5"/>
      <c r="V317" s="5"/>
    </row>
    <row r="318" ht="15.75" customHeight="1">
      <c r="C318" s="5"/>
      <c r="F318" s="5"/>
      <c r="G318" s="5"/>
      <c r="J318" s="5"/>
      <c r="M318" s="5"/>
      <c r="P318" s="5"/>
      <c r="S318" s="5"/>
      <c r="V318" s="5"/>
    </row>
    <row r="319" ht="15.75" customHeight="1">
      <c r="C319" s="5"/>
      <c r="F319" s="5"/>
      <c r="G319" s="5"/>
      <c r="J319" s="5"/>
      <c r="M319" s="5"/>
      <c r="P319" s="5"/>
      <c r="S319" s="5"/>
      <c r="V319" s="5"/>
    </row>
    <row r="320" ht="15.75" customHeight="1">
      <c r="C320" s="5"/>
      <c r="F320" s="5"/>
      <c r="G320" s="5"/>
      <c r="J320" s="5"/>
      <c r="M320" s="5"/>
      <c r="P320" s="5"/>
      <c r="S320" s="5"/>
      <c r="V320" s="5"/>
    </row>
    <row r="321" ht="15.75" customHeight="1">
      <c r="C321" s="5"/>
      <c r="F321" s="5"/>
      <c r="G321" s="5"/>
      <c r="J321" s="5"/>
      <c r="M321" s="5"/>
      <c r="P321" s="5"/>
      <c r="S321" s="5"/>
      <c r="V321" s="5"/>
    </row>
    <row r="322" ht="15.75" customHeight="1">
      <c r="C322" s="5"/>
      <c r="F322" s="5"/>
      <c r="G322" s="5"/>
      <c r="J322" s="5"/>
      <c r="M322" s="5"/>
      <c r="P322" s="5"/>
      <c r="S322" s="5"/>
      <c r="V322" s="5"/>
    </row>
    <row r="323" ht="15.75" customHeight="1">
      <c r="C323" s="5"/>
      <c r="F323" s="5"/>
      <c r="G323" s="5"/>
      <c r="J323" s="5"/>
      <c r="M323" s="5"/>
      <c r="P323" s="5"/>
      <c r="S323" s="5"/>
      <c r="V323" s="5"/>
    </row>
    <row r="324" ht="15.75" customHeight="1">
      <c r="C324" s="5"/>
      <c r="F324" s="5"/>
      <c r="G324" s="5"/>
      <c r="J324" s="5"/>
      <c r="M324" s="5"/>
      <c r="P324" s="5"/>
      <c r="S324" s="5"/>
      <c r="V324" s="5"/>
    </row>
    <row r="325" ht="15.75" customHeight="1">
      <c r="C325" s="5"/>
      <c r="F325" s="5"/>
      <c r="G325" s="5"/>
      <c r="J325" s="5"/>
      <c r="M325" s="5"/>
      <c r="P325" s="5"/>
      <c r="S325" s="5"/>
      <c r="V325" s="5"/>
    </row>
    <row r="326" ht="15.75" customHeight="1">
      <c r="C326" s="5"/>
      <c r="F326" s="5"/>
      <c r="G326" s="5"/>
      <c r="J326" s="5"/>
      <c r="M326" s="5"/>
      <c r="P326" s="5"/>
      <c r="S326" s="5"/>
      <c r="V326" s="5"/>
    </row>
    <row r="327" ht="15.75" customHeight="1">
      <c r="C327" s="5"/>
      <c r="F327" s="5"/>
      <c r="G327" s="5"/>
      <c r="J327" s="5"/>
      <c r="M327" s="5"/>
      <c r="P327" s="5"/>
      <c r="S327" s="5"/>
      <c r="V327" s="5"/>
    </row>
    <row r="328" ht="15.75" customHeight="1">
      <c r="C328" s="5"/>
      <c r="F328" s="5"/>
      <c r="G328" s="5"/>
      <c r="J328" s="5"/>
      <c r="M328" s="5"/>
      <c r="P328" s="5"/>
      <c r="S328" s="5"/>
      <c r="V328" s="5"/>
    </row>
    <row r="329" ht="15.75" customHeight="1">
      <c r="C329" s="5"/>
      <c r="F329" s="5"/>
      <c r="G329" s="5"/>
      <c r="J329" s="5"/>
      <c r="M329" s="5"/>
      <c r="P329" s="5"/>
      <c r="S329" s="5"/>
      <c r="V329" s="5"/>
    </row>
    <row r="330" ht="15.75" customHeight="1">
      <c r="C330" s="5"/>
      <c r="F330" s="5"/>
      <c r="G330" s="5"/>
      <c r="J330" s="5"/>
      <c r="M330" s="5"/>
      <c r="P330" s="5"/>
      <c r="S330" s="5"/>
      <c r="V330" s="5"/>
    </row>
    <row r="331" ht="15.75" customHeight="1">
      <c r="C331" s="5"/>
      <c r="F331" s="5"/>
      <c r="G331" s="5"/>
      <c r="J331" s="5"/>
      <c r="M331" s="5"/>
      <c r="P331" s="5"/>
      <c r="S331" s="5"/>
      <c r="V331" s="5"/>
    </row>
    <row r="332" ht="15.75" customHeight="1">
      <c r="C332" s="5"/>
      <c r="F332" s="5"/>
      <c r="G332" s="5"/>
      <c r="J332" s="5"/>
      <c r="M332" s="5"/>
      <c r="P332" s="5"/>
      <c r="S332" s="5"/>
      <c r="V332" s="5"/>
    </row>
    <row r="333" ht="15.75" customHeight="1">
      <c r="C333" s="5"/>
      <c r="F333" s="5"/>
      <c r="G333" s="5"/>
      <c r="J333" s="5"/>
      <c r="M333" s="5"/>
      <c r="P333" s="5"/>
      <c r="S333" s="5"/>
      <c r="V333" s="5"/>
    </row>
    <row r="334" ht="15.75" customHeight="1">
      <c r="C334" s="5"/>
      <c r="F334" s="5"/>
      <c r="G334" s="5"/>
      <c r="J334" s="5"/>
      <c r="M334" s="5"/>
      <c r="P334" s="5"/>
      <c r="S334" s="5"/>
      <c r="V334" s="5"/>
    </row>
    <row r="335" ht="15.75" customHeight="1">
      <c r="C335" s="5"/>
      <c r="F335" s="5"/>
      <c r="G335" s="5"/>
      <c r="J335" s="5"/>
      <c r="M335" s="5"/>
      <c r="P335" s="5"/>
      <c r="S335" s="5"/>
      <c r="V335" s="5"/>
    </row>
    <row r="336" ht="15.75" customHeight="1">
      <c r="C336" s="5"/>
      <c r="F336" s="5"/>
      <c r="G336" s="5"/>
      <c r="J336" s="5"/>
      <c r="M336" s="5"/>
      <c r="P336" s="5"/>
      <c r="S336" s="5"/>
      <c r="V336" s="5"/>
    </row>
    <row r="337" ht="15.75" customHeight="1">
      <c r="C337" s="5"/>
      <c r="F337" s="5"/>
      <c r="G337" s="5"/>
      <c r="J337" s="5"/>
      <c r="M337" s="5"/>
      <c r="P337" s="5"/>
      <c r="S337" s="5"/>
      <c r="V337" s="5"/>
    </row>
    <row r="338" ht="15.75" customHeight="1">
      <c r="C338" s="5"/>
      <c r="F338" s="5"/>
      <c r="G338" s="5"/>
      <c r="J338" s="5"/>
      <c r="M338" s="5"/>
      <c r="P338" s="5"/>
      <c r="S338" s="5"/>
      <c r="V338" s="5"/>
    </row>
    <row r="339" ht="15.75" customHeight="1">
      <c r="C339" s="5"/>
      <c r="F339" s="5"/>
      <c r="G339" s="5"/>
      <c r="J339" s="5"/>
      <c r="M339" s="5"/>
      <c r="P339" s="5"/>
      <c r="S339" s="5"/>
      <c r="V339" s="5"/>
    </row>
    <row r="340" ht="15.75" customHeight="1">
      <c r="C340" s="5"/>
      <c r="F340" s="5"/>
      <c r="G340" s="5"/>
      <c r="J340" s="5"/>
      <c r="M340" s="5"/>
      <c r="P340" s="5"/>
      <c r="S340" s="5"/>
      <c r="V340" s="5"/>
    </row>
    <row r="341" ht="15.75" customHeight="1">
      <c r="C341" s="5"/>
      <c r="F341" s="5"/>
      <c r="G341" s="5"/>
      <c r="J341" s="5"/>
      <c r="M341" s="5"/>
      <c r="P341" s="5"/>
      <c r="S341" s="5"/>
      <c r="V341" s="5"/>
    </row>
    <row r="342" ht="15.75" customHeight="1">
      <c r="C342" s="5"/>
      <c r="F342" s="5"/>
      <c r="G342" s="5"/>
      <c r="J342" s="5"/>
      <c r="M342" s="5"/>
      <c r="P342" s="5"/>
      <c r="S342" s="5"/>
      <c r="V342" s="5"/>
    </row>
    <row r="343" ht="15.75" customHeight="1">
      <c r="C343" s="5"/>
      <c r="F343" s="5"/>
      <c r="G343" s="5"/>
      <c r="J343" s="5"/>
      <c r="M343" s="5"/>
      <c r="P343" s="5"/>
      <c r="S343" s="5"/>
      <c r="V343" s="5"/>
    </row>
    <row r="344" ht="15.75" customHeight="1">
      <c r="C344" s="5"/>
      <c r="F344" s="5"/>
      <c r="G344" s="5"/>
      <c r="J344" s="5"/>
      <c r="M344" s="5"/>
      <c r="P344" s="5"/>
      <c r="S344" s="5"/>
      <c r="V344" s="5"/>
    </row>
    <row r="345" ht="15.75" customHeight="1">
      <c r="C345" s="5"/>
      <c r="F345" s="5"/>
      <c r="G345" s="5"/>
      <c r="J345" s="5"/>
      <c r="M345" s="5"/>
      <c r="P345" s="5"/>
      <c r="S345" s="5"/>
      <c r="V345" s="5"/>
    </row>
    <row r="346" ht="15.75" customHeight="1">
      <c r="C346" s="5"/>
      <c r="F346" s="5"/>
      <c r="G346" s="5"/>
      <c r="J346" s="5"/>
      <c r="M346" s="5"/>
      <c r="P346" s="5"/>
      <c r="S346" s="5"/>
      <c r="V346" s="5"/>
    </row>
    <row r="347" ht="15.75" customHeight="1">
      <c r="C347" s="5"/>
      <c r="F347" s="5"/>
      <c r="G347" s="5"/>
      <c r="J347" s="5"/>
      <c r="M347" s="5"/>
      <c r="P347" s="5"/>
      <c r="S347" s="5"/>
      <c r="V347" s="5"/>
    </row>
    <row r="348" ht="15.75" customHeight="1">
      <c r="C348" s="5"/>
      <c r="F348" s="5"/>
      <c r="G348" s="5"/>
      <c r="J348" s="5"/>
      <c r="M348" s="5"/>
      <c r="P348" s="5"/>
      <c r="S348" s="5"/>
      <c r="V348" s="5"/>
    </row>
    <row r="349" ht="15.75" customHeight="1">
      <c r="C349" s="5"/>
      <c r="F349" s="5"/>
      <c r="G349" s="5"/>
      <c r="J349" s="5"/>
      <c r="M349" s="5"/>
      <c r="P349" s="5"/>
      <c r="S349" s="5"/>
      <c r="V349" s="5"/>
    </row>
    <row r="350" ht="15.75" customHeight="1">
      <c r="C350" s="5"/>
      <c r="F350" s="5"/>
      <c r="G350" s="5"/>
      <c r="J350" s="5"/>
      <c r="M350" s="5"/>
      <c r="P350" s="5"/>
      <c r="S350" s="5"/>
      <c r="V350" s="5"/>
    </row>
    <row r="351" ht="15.75" customHeight="1">
      <c r="C351" s="5"/>
      <c r="F351" s="5"/>
      <c r="G351" s="5"/>
      <c r="J351" s="5"/>
      <c r="M351" s="5"/>
      <c r="P351" s="5"/>
      <c r="S351" s="5"/>
      <c r="V351" s="5"/>
    </row>
    <row r="352" ht="15.75" customHeight="1">
      <c r="C352" s="5"/>
      <c r="F352" s="5"/>
      <c r="G352" s="5"/>
      <c r="J352" s="5"/>
      <c r="M352" s="5"/>
      <c r="P352" s="5"/>
      <c r="S352" s="5"/>
      <c r="V352" s="5"/>
    </row>
    <row r="353" ht="15.75" customHeight="1">
      <c r="C353" s="5"/>
      <c r="F353" s="5"/>
      <c r="G353" s="5"/>
      <c r="J353" s="5"/>
      <c r="M353" s="5"/>
      <c r="P353" s="5"/>
      <c r="S353" s="5"/>
      <c r="V353" s="5"/>
    </row>
    <row r="354" ht="15.75" customHeight="1">
      <c r="C354" s="5"/>
      <c r="F354" s="5"/>
      <c r="G354" s="5"/>
      <c r="J354" s="5"/>
      <c r="M354" s="5"/>
      <c r="P354" s="5"/>
      <c r="S354" s="5"/>
      <c r="V354" s="5"/>
    </row>
    <row r="355" ht="15.75" customHeight="1">
      <c r="C355" s="5"/>
      <c r="F355" s="5"/>
      <c r="G355" s="5"/>
      <c r="J355" s="5"/>
      <c r="M355" s="5"/>
      <c r="P355" s="5"/>
      <c r="S355" s="5"/>
      <c r="V355" s="5"/>
    </row>
    <row r="356" ht="15.75" customHeight="1">
      <c r="C356" s="5"/>
      <c r="F356" s="5"/>
      <c r="G356" s="5"/>
      <c r="J356" s="5"/>
      <c r="M356" s="5"/>
      <c r="P356" s="5"/>
      <c r="S356" s="5"/>
      <c r="V356" s="5"/>
    </row>
    <row r="357" ht="15.75" customHeight="1">
      <c r="C357" s="5"/>
      <c r="F357" s="5"/>
      <c r="G357" s="5"/>
      <c r="J357" s="5"/>
      <c r="M357" s="5"/>
      <c r="P357" s="5"/>
      <c r="S357" s="5"/>
      <c r="V357" s="5"/>
    </row>
    <row r="358" ht="15.75" customHeight="1">
      <c r="C358" s="5"/>
      <c r="F358" s="5"/>
      <c r="G358" s="5"/>
      <c r="J358" s="5"/>
      <c r="M358" s="5"/>
      <c r="P358" s="5"/>
      <c r="S358" s="5"/>
      <c r="V358" s="5"/>
    </row>
    <row r="359" ht="15.75" customHeight="1">
      <c r="C359" s="5"/>
      <c r="F359" s="5"/>
      <c r="G359" s="5"/>
      <c r="J359" s="5"/>
      <c r="M359" s="5"/>
      <c r="P359" s="5"/>
      <c r="S359" s="5"/>
      <c r="V359" s="5"/>
    </row>
    <row r="360" ht="15.75" customHeight="1">
      <c r="C360" s="5"/>
      <c r="F360" s="5"/>
      <c r="G360" s="5"/>
      <c r="J360" s="5"/>
      <c r="M360" s="5"/>
      <c r="P360" s="5"/>
      <c r="S360" s="5"/>
      <c r="V360" s="5"/>
    </row>
    <row r="361" ht="15.75" customHeight="1">
      <c r="C361" s="5"/>
      <c r="F361" s="5"/>
      <c r="G361" s="5"/>
      <c r="J361" s="5"/>
      <c r="M361" s="5"/>
      <c r="P361" s="5"/>
      <c r="S361" s="5"/>
      <c r="V361" s="5"/>
    </row>
    <row r="362" ht="15.75" customHeight="1">
      <c r="C362" s="5"/>
      <c r="F362" s="5"/>
      <c r="G362" s="5"/>
      <c r="J362" s="5"/>
      <c r="M362" s="5"/>
      <c r="P362" s="5"/>
      <c r="S362" s="5"/>
      <c r="V362" s="5"/>
    </row>
    <row r="363" ht="15.75" customHeight="1">
      <c r="C363" s="5"/>
      <c r="F363" s="5"/>
      <c r="G363" s="5"/>
      <c r="J363" s="5"/>
      <c r="M363" s="5"/>
      <c r="P363" s="5"/>
      <c r="S363" s="5"/>
      <c r="V363" s="5"/>
    </row>
    <row r="364" ht="15.75" customHeight="1">
      <c r="C364" s="5"/>
      <c r="F364" s="5"/>
      <c r="G364" s="5"/>
      <c r="J364" s="5"/>
      <c r="M364" s="5"/>
      <c r="P364" s="5"/>
      <c r="S364" s="5"/>
      <c r="V364" s="5"/>
    </row>
    <row r="365" ht="15.75" customHeight="1">
      <c r="C365" s="5"/>
      <c r="F365" s="5"/>
      <c r="G365" s="5"/>
      <c r="J365" s="5"/>
      <c r="M365" s="5"/>
      <c r="P365" s="5"/>
      <c r="S365" s="5"/>
      <c r="V365" s="5"/>
    </row>
    <row r="366" ht="15.75" customHeight="1">
      <c r="C366" s="5"/>
      <c r="F366" s="5"/>
      <c r="G366" s="5"/>
      <c r="J366" s="5"/>
      <c r="M366" s="5"/>
      <c r="P366" s="5"/>
      <c r="S366" s="5"/>
      <c r="V366" s="5"/>
    </row>
    <row r="367" ht="15.75" customHeight="1">
      <c r="C367" s="5"/>
      <c r="F367" s="5"/>
      <c r="G367" s="5"/>
      <c r="J367" s="5"/>
      <c r="M367" s="5"/>
      <c r="P367" s="5"/>
      <c r="S367" s="5"/>
      <c r="V367" s="5"/>
    </row>
    <row r="368" ht="15.75" customHeight="1">
      <c r="C368" s="5"/>
      <c r="F368" s="5"/>
      <c r="G368" s="5"/>
      <c r="J368" s="5"/>
      <c r="M368" s="5"/>
      <c r="P368" s="5"/>
      <c r="S368" s="5"/>
      <c r="V368" s="5"/>
    </row>
    <row r="369" ht="15.75" customHeight="1">
      <c r="C369" s="5"/>
      <c r="F369" s="5"/>
      <c r="G369" s="5"/>
      <c r="J369" s="5"/>
      <c r="M369" s="5"/>
      <c r="P369" s="5"/>
      <c r="S369" s="5"/>
      <c r="V369" s="5"/>
    </row>
    <row r="370" ht="15.75" customHeight="1">
      <c r="C370" s="5"/>
      <c r="F370" s="5"/>
      <c r="G370" s="5"/>
      <c r="J370" s="5"/>
      <c r="M370" s="5"/>
      <c r="P370" s="5"/>
      <c r="S370" s="5"/>
      <c r="V370" s="5"/>
    </row>
    <row r="371" ht="15.75" customHeight="1">
      <c r="C371" s="5"/>
      <c r="F371" s="5"/>
      <c r="G371" s="5"/>
      <c r="J371" s="5"/>
      <c r="M371" s="5"/>
      <c r="P371" s="5"/>
      <c r="S371" s="5"/>
      <c r="V371" s="5"/>
    </row>
    <row r="372" ht="15.75" customHeight="1">
      <c r="C372" s="5"/>
      <c r="F372" s="5"/>
      <c r="G372" s="5"/>
      <c r="J372" s="5"/>
      <c r="M372" s="5"/>
      <c r="P372" s="5"/>
      <c r="S372" s="5"/>
      <c r="V372" s="5"/>
    </row>
    <row r="373" ht="15.75" customHeight="1">
      <c r="C373" s="5"/>
      <c r="F373" s="5"/>
      <c r="G373" s="5"/>
      <c r="J373" s="5"/>
      <c r="M373" s="5"/>
      <c r="P373" s="5"/>
      <c r="S373" s="5"/>
      <c r="V373" s="5"/>
    </row>
    <row r="374" ht="15.75" customHeight="1">
      <c r="C374" s="5"/>
      <c r="F374" s="5"/>
      <c r="G374" s="5"/>
      <c r="J374" s="5"/>
      <c r="M374" s="5"/>
      <c r="P374" s="5"/>
      <c r="S374" s="5"/>
      <c r="V374" s="5"/>
    </row>
    <row r="375" ht="15.75" customHeight="1">
      <c r="C375" s="5"/>
      <c r="F375" s="5"/>
      <c r="G375" s="5"/>
      <c r="J375" s="5"/>
      <c r="M375" s="5"/>
      <c r="P375" s="5"/>
      <c r="S375" s="5"/>
      <c r="V375" s="5"/>
    </row>
    <row r="376" ht="15.75" customHeight="1">
      <c r="C376" s="5"/>
      <c r="F376" s="5"/>
      <c r="G376" s="5"/>
      <c r="J376" s="5"/>
      <c r="M376" s="5"/>
      <c r="P376" s="5"/>
      <c r="S376" s="5"/>
      <c r="V376" s="5"/>
    </row>
    <row r="377" ht="15.75" customHeight="1">
      <c r="C377" s="5"/>
      <c r="F377" s="5"/>
      <c r="G377" s="5"/>
      <c r="J377" s="5"/>
      <c r="M377" s="5"/>
      <c r="P377" s="5"/>
      <c r="S377" s="5"/>
      <c r="V377" s="5"/>
    </row>
    <row r="378" ht="15.75" customHeight="1">
      <c r="C378" s="5"/>
      <c r="F378" s="5"/>
      <c r="G378" s="5"/>
      <c r="J378" s="5"/>
      <c r="M378" s="5"/>
      <c r="P378" s="5"/>
      <c r="S378" s="5"/>
      <c r="V378" s="5"/>
    </row>
    <row r="379" ht="15.75" customHeight="1">
      <c r="C379" s="5"/>
      <c r="F379" s="5"/>
      <c r="G379" s="5"/>
      <c r="J379" s="5"/>
      <c r="M379" s="5"/>
      <c r="P379" s="5"/>
      <c r="S379" s="5"/>
      <c r="V379" s="5"/>
    </row>
    <row r="380" ht="15.75" customHeight="1">
      <c r="C380" s="5"/>
      <c r="F380" s="5"/>
      <c r="G380" s="5"/>
      <c r="J380" s="5"/>
      <c r="M380" s="5"/>
      <c r="P380" s="5"/>
      <c r="S380" s="5"/>
      <c r="V380" s="5"/>
    </row>
    <row r="381" ht="15.75" customHeight="1">
      <c r="C381" s="5"/>
      <c r="F381" s="5"/>
      <c r="G381" s="5"/>
      <c r="J381" s="5"/>
      <c r="M381" s="5"/>
      <c r="P381" s="5"/>
      <c r="S381" s="5"/>
      <c r="V381" s="5"/>
    </row>
    <row r="382" ht="15.75" customHeight="1">
      <c r="C382" s="5"/>
      <c r="F382" s="5"/>
      <c r="G382" s="5"/>
      <c r="J382" s="5"/>
      <c r="M382" s="5"/>
      <c r="P382" s="5"/>
      <c r="S382" s="5"/>
      <c r="V382" s="5"/>
    </row>
    <row r="383" ht="15.75" customHeight="1">
      <c r="C383" s="5"/>
      <c r="F383" s="5"/>
      <c r="G383" s="5"/>
      <c r="J383" s="5"/>
      <c r="M383" s="5"/>
      <c r="P383" s="5"/>
      <c r="S383" s="5"/>
      <c r="V383" s="5"/>
    </row>
    <row r="384" ht="15.75" customHeight="1">
      <c r="C384" s="5"/>
      <c r="F384" s="5"/>
      <c r="G384" s="5"/>
      <c r="J384" s="5"/>
      <c r="M384" s="5"/>
      <c r="P384" s="5"/>
      <c r="S384" s="5"/>
      <c r="V384" s="5"/>
    </row>
    <row r="385" ht="15.75" customHeight="1">
      <c r="C385" s="5"/>
      <c r="F385" s="5"/>
      <c r="G385" s="5"/>
      <c r="J385" s="5"/>
      <c r="M385" s="5"/>
      <c r="P385" s="5"/>
      <c r="S385" s="5"/>
      <c r="V385" s="5"/>
    </row>
    <row r="386" ht="15.75" customHeight="1">
      <c r="C386" s="5"/>
      <c r="F386" s="5"/>
      <c r="G386" s="5"/>
      <c r="J386" s="5"/>
      <c r="M386" s="5"/>
      <c r="P386" s="5"/>
      <c r="S386" s="5"/>
      <c r="V386" s="5"/>
    </row>
    <row r="387" ht="15.75" customHeight="1">
      <c r="C387" s="5"/>
      <c r="F387" s="5"/>
      <c r="G387" s="5"/>
      <c r="J387" s="5"/>
      <c r="M387" s="5"/>
      <c r="P387" s="5"/>
      <c r="S387" s="5"/>
      <c r="V387" s="5"/>
    </row>
    <row r="388" ht="15.75" customHeight="1">
      <c r="C388" s="5"/>
      <c r="F388" s="5"/>
      <c r="G388" s="5"/>
      <c r="J388" s="5"/>
      <c r="M388" s="5"/>
      <c r="P388" s="5"/>
      <c r="S388" s="5"/>
      <c r="V388" s="5"/>
    </row>
    <row r="389" ht="15.75" customHeight="1">
      <c r="C389" s="5"/>
      <c r="F389" s="5"/>
      <c r="G389" s="5"/>
      <c r="J389" s="5"/>
      <c r="M389" s="5"/>
      <c r="P389" s="5"/>
      <c r="S389" s="5"/>
      <c r="V389" s="5"/>
    </row>
    <row r="390" ht="15.75" customHeight="1">
      <c r="C390" s="5"/>
      <c r="F390" s="5"/>
      <c r="G390" s="5"/>
      <c r="J390" s="5"/>
      <c r="M390" s="5"/>
      <c r="P390" s="5"/>
      <c r="S390" s="5"/>
      <c r="V390" s="5"/>
    </row>
    <row r="391" ht="15.75" customHeight="1">
      <c r="C391" s="5"/>
      <c r="F391" s="5"/>
      <c r="G391" s="5"/>
      <c r="J391" s="5"/>
      <c r="M391" s="5"/>
      <c r="P391" s="5"/>
      <c r="S391" s="5"/>
      <c r="V391" s="5"/>
    </row>
    <row r="392" ht="15.75" customHeight="1">
      <c r="C392" s="5"/>
      <c r="F392" s="5"/>
      <c r="G392" s="5"/>
      <c r="J392" s="5"/>
      <c r="M392" s="5"/>
      <c r="P392" s="5"/>
      <c r="S392" s="5"/>
      <c r="V392" s="5"/>
    </row>
    <row r="393" ht="15.75" customHeight="1">
      <c r="C393" s="5"/>
      <c r="F393" s="5"/>
      <c r="G393" s="5"/>
      <c r="J393" s="5"/>
      <c r="M393" s="5"/>
      <c r="P393" s="5"/>
      <c r="S393" s="5"/>
      <c r="V393" s="5"/>
    </row>
    <row r="394" ht="15.75" customHeight="1">
      <c r="C394" s="5"/>
      <c r="F394" s="5"/>
      <c r="G394" s="5"/>
      <c r="J394" s="5"/>
      <c r="M394" s="5"/>
      <c r="P394" s="5"/>
      <c r="S394" s="5"/>
      <c r="V394" s="5"/>
    </row>
    <row r="395" ht="15.75" customHeight="1">
      <c r="C395" s="5"/>
      <c r="F395" s="5"/>
      <c r="G395" s="5"/>
      <c r="J395" s="5"/>
      <c r="M395" s="5"/>
      <c r="P395" s="5"/>
      <c r="S395" s="5"/>
      <c r="V395" s="5"/>
    </row>
    <row r="396" ht="15.75" customHeight="1">
      <c r="C396" s="5"/>
      <c r="F396" s="5"/>
      <c r="G396" s="5"/>
      <c r="J396" s="5"/>
      <c r="M396" s="5"/>
      <c r="P396" s="5"/>
      <c r="S396" s="5"/>
      <c r="V396" s="5"/>
    </row>
    <row r="397" ht="15.75" customHeight="1">
      <c r="C397" s="5"/>
      <c r="F397" s="5"/>
      <c r="G397" s="5"/>
      <c r="J397" s="5"/>
      <c r="M397" s="5"/>
      <c r="P397" s="5"/>
      <c r="S397" s="5"/>
      <c r="V397" s="5"/>
    </row>
    <row r="398" ht="15.75" customHeight="1">
      <c r="C398" s="5"/>
      <c r="F398" s="5"/>
      <c r="G398" s="5"/>
      <c r="J398" s="5"/>
      <c r="M398" s="5"/>
      <c r="P398" s="5"/>
      <c r="S398" s="5"/>
      <c r="V398" s="5"/>
    </row>
    <row r="399" ht="15.75" customHeight="1">
      <c r="C399" s="5"/>
      <c r="F399" s="5"/>
      <c r="G399" s="5"/>
      <c r="J399" s="5"/>
      <c r="M399" s="5"/>
      <c r="P399" s="5"/>
      <c r="S399" s="5"/>
      <c r="V399" s="5"/>
    </row>
    <row r="400" ht="15.75" customHeight="1">
      <c r="C400" s="5"/>
      <c r="F400" s="5"/>
      <c r="G400" s="5"/>
      <c r="J400" s="5"/>
      <c r="M400" s="5"/>
      <c r="P400" s="5"/>
      <c r="S400" s="5"/>
      <c r="V400" s="5"/>
    </row>
    <row r="401" ht="15.75" customHeight="1">
      <c r="C401" s="5"/>
      <c r="F401" s="5"/>
      <c r="G401" s="5"/>
      <c r="J401" s="5"/>
      <c r="M401" s="5"/>
      <c r="P401" s="5"/>
      <c r="S401" s="5"/>
      <c r="V401" s="5"/>
    </row>
    <row r="402" ht="15.75" customHeight="1">
      <c r="C402" s="5"/>
      <c r="F402" s="5"/>
      <c r="G402" s="5"/>
      <c r="J402" s="5"/>
      <c r="M402" s="5"/>
      <c r="P402" s="5"/>
      <c r="S402" s="5"/>
      <c r="V402" s="5"/>
    </row>
    <row r="403" ht="15.75" customHeight="1">
      <c r="C403" s="5"/>
      <c r="F403" s="5"/>
      <c r="G403" s="5"/>
      <c r="J403" s="5"/>
      <c r="M403" s="5"/>
      <c r="P403" s="5"/>
      <c r="S403" s="5"/>
      <c r="V403" s="5"/>
    </row>
    <row r="404" ht="15.75" customHeight="1">
      <c r="C404" s="5"/>
      <c r="F404" s="5"/>
      <c r="G404" s="5"/>
      <c r="J404" s="5"/>
      <c r="M404" s="5"/>
      <c r="P404" s="5"/>
      <c r="S404" s="5"/>
      <c r="V404" s="5"/>
    </row>
    <row r="405" ht="15.75" customHeight="1">
      <c r="C405" s="5"/>
      <c r="F405" s="5"/>
      <c r="G405" s="5"/>
      <c r="J405" s="5"/>
      <c r="M405" s="5"/>
      <c r="P405" s="5"/>
      <c r="S405" s="5"/>
      <c r="V405" s="5"/>
    </row>
    <row r="406" ht="15.75" customHeight="1">
      <c r="C406" s="5"/>
      <c r="F406" s="5"/>
      <c r="G406" s="5"/>
      <c r="J406" s="5"/>
      <c r="M406" s="5"/>
      <c r="P406" s="5"/>
      <c r="S406" s="5"/>
      <c r="V406" s="5"/>
    </row>
    <row r="407" ht="15.75" customHeight="1">
      <c r="C407" s="5"/>
      <c r="F407" s="5"/>
      <c r="G407" s="5"/>
      <c r="J407" s="5"/>
      <c r="M407" s="5"/>
      <c r="P407" s="5"/>
      <c r="S407" s="5"/>
      <c r="V407" s="5"/>
    </row>
    <row r="408" ht="15.75" customHeight="1">
      <c r="C408" s="5"/>
      <c r="F408" s="5"/>
      <c r="G408" s="5"/>
      <c r="J408" s="5"/>
      <c r="M408" s="5"/>
      <c r="P408" s="5"/>
      <c r="S408" s="5"/>
      <c r="V408" s="5"/>
    </row>
    <row r="409" ht="15.75" customHeight="1">
      <c r="C409" s="5"/>
      <c r="F409" s="5"/>
      <c r="G409" s="5"/>
      <c r="J409" s="5"/>
      <c r="M409" s="5"/>
      <c r="P409" s="5"/>
      <c r="S409" s="5"/>
      <c r="V409" s="5"/>
    </row>
    <row r="410" ht="15.75" customHeight="1">
      <c r="C410" s="5"/>
      <c r="F410" s="5"/>
      <c r="G410" s="5"/>
      <c r="J410" s="5"/>
      <c r="M410" s="5"/>
      <c r="P410" s="5"/>
      <c r="S410" s="5"/>
      <c r="V410" s="5"/>
    </row>
    <row r="411" ht="15.75" customHeight="1">
      <c r="C411" s="5"/>
      <c r="F411" s="5"/>
      <c r="G411" s="5"/>
      <c r="J411" s="5"/>
      <c r="M411" s="5"/>
      <c r="P411" s="5"/>
      <c r="S411" s="5"/>
      <c r="V411" s="5"/>
    </row>
    <row r="412" ht="15.75" customHeight="1">
      <c r="C412" s="5"/>
      <c r="F412" s="5"/>
      <c r="G412" s="5"/>
      <c r="J412" s="5"/>
      <c r="M412" s="5"/>
      <c r="P412" s="5"/>
      <c r="S412" s="5"/>
      <c r="V412" s="5"/>
    </row>
    <row r="413" ht="15.75" customHeight="1">
      <c r="C413" s="5"/>
      <c r="F413" s="5"/>
      <c r="G413" s="5"/>
      <c r="J413" s="5"/>
      <c r="M413" s="5"/>
      <c r="P413" s="5"/>
      <c r="S413" s="5"/>
      <c r="V413" s="5"/>
    </row>
    <row r="414" ht="15.75" customHeight="1">
      <c r="C414" s="5"/>
      <c r="F414" s="5"/>
      <c r="G414" s="5"/>
      <c r="J414" s="5"/>
      <c r="M414" s="5"/>
      <c r="P414" s="5"/>
      <c r="S414" s="5"/>
      <c r="V414" s="5"/>
    </row>
    <row r="415" ht="15.75" customHeight="1">
      <c r="C415" s="5"/>
      <c r="F415" s="5"/>
      <c r="G415" s="5"/>
      <c r="J415" s="5"/>
      <c r="M415" s="5"/>
      <c r="P415" s="5"/>
      <c r="S415" s="5"/>
      <c r="V415" s="5"/>
    </row>
    <row r="416" ht="15.75" customHeight="1">
      <c r="C416" s="5"/>
      <c r="F416" s="5"/>
      <c r="G416" s="5"/>
      <c r="J416" s="5"/>
      <c r="M416" s="5"/>
      <c r="P416" s="5"/>
      <c r="S416" s="5"/>
      <c r="V416" s="5"/>
    </row>
    <row r="417" ht="15.75" customHeight="1">
      <c r="C417" s="5"/>
      <c r="F417" s="5"/>
      <c r="G417" s="5"/>
      <c r="J417" s="5"/>
      <c r="M417" s="5"/>
      <c r="P417" s="5"/>
      <c r="S417" s="5"/>
      <c r="V417" s="5"/>
    </row>
    <row r="418" ht="15.75" customHeight="1">
      <c r="C418" s="5"/>
      <c r="F418" s="5"/>
      <c r="G418" s="5"/>
      <c r="J418" s="5"/>
      <c r="M418" s="5"/>
      <c r="P418" s="5"/>
      <c r="S418" s="5"/>
      <c r="V418" s="5"/>
    </row>
    <row r="419" ht="15.75" customHeight="1">
      <c r="C419" s="5"/>
      <c r="F419" s="5"/>
      <c r="G419" s="5"/>
      <c r="J419" s="5"/>
      <c r="M419" s="5"/>
      <c r="P419" s="5"/>
      <c r="S419" s="5"/>
      <c r="V419" s="5"/>
    </row>
    <row r="420" ht="15.75" customHeight="1">
      <c r="C420" s="5"/>
      <c r="F420" s="5"/>
      <c r="G420" s="5"/>
      <c r="J420" s="5"/>
      <c r="M420" s="5"/>
      <c r="P420" s="5"/>
      <c r="S420" s="5"/>
      <c r="V420" s="5"/>
    </row>
    <row r="421" ht="15.75" customHeight="1">
      <c r="C421" s="5"/>
      <c r="F421" s="5"/>
      <c r="G421" s="5"/>
      <c r="J421" s="5"/>
      <c r="M421" s="5"/>
      <c r="P421" s="5"/>
      <c r="S421" s="5"/>
      <c r="V421" s="5"/>
    </row>
    <row r="422" ht="15.75" customHeight="1">
      <c r="C422" s="5"/>
      <c r="F422" s="5"/>
      <c r="G422" s="5"/>
      <c r="J422" s="5"/>
      <c r="M422" s="5"/>
      <c r="P422" s="5"/>
      <c r="S422" s="5"/>
      <c r="V422" s="5"/>
    </row>
    <row r="423" ht="15.75" customHeight="1">
      <c r="C423" s="5"/>
      <c r="F423" s="5"/>
      <c r="G423" s="5"/>
      <c r="J423" s="5"/>
      <c r="M423" s="5"/>
      <c r="P423" s="5"/>
      <c r="S423" s="5"/>
      <c r="V423" s="5"/>
    </row>
    <row r="424" ht="15.75" customHeight="1">
      <c r="C424" s="5"/>
      <c r="F424" s="5"/>
      <c r="G424" s="5"/>
      <c r="J424" s="5"/>
      <c r="M424" s="5"/>
      <c r="P424" s="5"/>
      <c r="S424" s="5"/>
      <c r="V424" s="5"/>
    </row>
    <row r="425" ht="15.75" customHeight="1">
      <c r="C425" s="5"/>
      <c r="F425" s="5"/>
      <c r="G425" s="5"/>
      <c r="J425" s="5"/>
      <c r="M425" s="5"/>
      <c r="P425" s="5"/>
      <c r="S425" s="5"/>
      <c r="V425" s="5"/>
    </row>
    <row r="426" ht="15.75" customHeight="1">
      <c r="C426" s="5"/>
      <c r="F426" s="5"/>
      <c r="G426" s="5"/>
      <c r="J426" s="5"/>
      <c r="M426" s="5"/>
      <c r="P426" s="5"/>
      <c r="S426" s="5"/>
      <c r="V426" s="5"/>
    </row>
    <row r="427" ht="15.75" customHeight="1">
      <c r="C427" s="5"/>
      <c r="F427" s="5"/>
      <c r="G427" s="5"/>
      <c r="J427" s="5"/>
      <c r="M427" s="5"/>
      <c r="P427" s="5"/>
      <c r="S427" s="5"/>
      <c r="V427" s="5"/>
    </row>
    <row r="428" ht="15.75" customHeight="1">
      <c r="C428" s="5"/>
      <c r="F428" s="5"/>
      <c r="G428" s="5"/>
      <c r="J428" s="5"/>
      <c r="M428" s="5"/>
      <c r="P428" s="5"/>
      <c r="S428" s="5"/>
      <c r="V428" s="5"/>
    </row>
    <row r="429" ht="15.75" customHeight="1">
      <c r="C429" s="5"/>
      <c r="F429" s="5"/>
      <c r="G429" s="5"/>
      <c r="J429" s="5"/>
      <c r="M429" s="5"/>
      <c r="P429" s="5"/>
      <c r="S429" s="5"/>
      <c r="V429" s="5"/>
    </row>
    <row r="430" ht="15.75" customHeight="1">
      <c r="C430" s="5"/>
      <c r="F430" s="5"/>
      <c r="G430" s="5"/>
      <c r="J430" s="5"/>
      <c r="M430" s="5"/>
      <c r="P430" s="5"/>
      <c r="S430" s="5"/>
      <c r="V430" s="5"/>
    </row>
    <row r="431" ht="15.75" customHeight="1">
      <c r="C431" s="5"/>
      <c r="F431" s="5"/>
      <c r="G431" s="5"/>
      <c r="J431" s="5"/>
      <c r="M431" s="5"/>
      <c r="P431" s="5"/>
      <c r="S431" s="5"/>
      <c r="V431" s="5"/>
    </row>
    <row r="432" ht="15.75" customHeight="1">
      <c r="C432" s="5"/>
      <c r="F432" s="5"/>
      <c r="G432" s="5"/>
      <c r="J432" s="5"/>
      <c r="M432" s="5"/>
      <c r="P432" s="5"/>
      <c r="S432" s="5"/>
      <c r="V432" s="5"/>
    </row>
    <row r="433" ht="15.75" customHeight="1">
      <c r="C433" s="5"/>
      <c r="F433" s="5"/>
      <c r="G433" s="5"/>
      <c r="J433" s="5"/>
      <c r="M433" s="5"/>
      <c r="P433" s="5"/>
      <c r="S433" s="5"/>
      <c r="V433" s="5"/>
    </row>
    <row r="434" ht="15.75" customHeight="1">
      <c r="C434" s="5"/>
      <c r="F434" s="5"/>
      <c r="G434" s="5"/>
      <c r="J434" s="5"/>
      <c r="M434" s="5"/>
      <c r="P434" s="5"/>
      <c r="S434" s="5"/>
      <c r="V434" s="5"/>
    </row>
    <row r="435" ht="15.75" customHeight="1">
      <c r="C435" s="5"/>
      <c r="F435" s="5"/>
      <c r="G435" s="5"/>
      <c r="J435" s="5"/>
      <c r="M435" s="5"/>
      <c r="P435" s="5"/>
      <c r="S435" s="5"/>
      <c r="V435" s="5"/>
    </row>
    <row r="436" ht="15.75" customHeight="1">
      <c r="C436" s="5"/>
      <c r="F436" s="5"/>
      <c r="G436" s="5"/>
      <c r="J436" s="5"/>
      <c r="M436" s="5"/>
      <c r="P436" s="5"/>
      <c r="S436" s="5"/>
      <c r="V436" s="5"/>
    </row>
    <row r="437" ht="15.75" customHeight="1">
      <c r="C437" s="5"/>
      <c r="F437" s="5"/>
      <c r="G437" s="5"/>
      <c r="J437" s="5"/>
      <c r="M437" s="5"/>
      <c r="P437" s="5"/>
      <c r="S437" s="5"/>
      <c r="V437" s="5"/>
    </row>
    <row r="438" ht="15.75" customHeight="1">
      <c r="C438" s="5"/>
      <c r="F438" s="5"/>
      <c r="G438" s="5"/>
      <c r="J438" s="5"/>
      <c r="M438" s="5"/>
      <c r="P438" s="5"/>
      <c r="S438" s="5"/>
      <c r="V438" s="5"/>
    </row>
    <row r="439" ht="15.75" customHeight="1">
      <c r="C439" s="5"/>
      <c r="F439" s="5"/>
      <c r="G439" s="5"/>
      <c r="J439" s="5"/>
      <c r="M439" s="5"/>
      <c r="P439" s="5"/>
      <c r="S439" s="5"/>
      <c r="V439" s="5"/>
    </row>
    <row r="440" ht="15.75" customHeight="1">
      <c r="C440" s="5"/>
      <c r="F440" s="5"/>
      <c r="G440" s="5"/>
      <c r="J440" s="5"/>
      <c r="M440" s="5"/>
      <c r="P440" s="5"/>
      <c r="S440" s="5"/>
      <c r="V440" s="5"/>
    </row>
    <row r="441" ht="15.75" customHeight="1">
      <c r="C441" s="5"/>
      <c r="F441" s="5"/>
      <c r="G441" s="5"/>
      <c r="J441" s="5"/>
      <c r="M441" s="5"/>
      <c r="P441" s="5"/>
      <c r="S441" s="5"/>
      <c r="V441" s="5"/>
    </row>
    <row r="442" ht="15.75" customHeight="1">
      <c r="C442" s="5"/>
      <c r="F442" s="5"/>
      <c r="G442" s="5"/>
      <c r="J442" s="5"/>
      <c r="M442" s="5"/>
      <c r="P442" s="5"/>
      <c r="S442" s="5"/>
      <c r="V442" s="5"/>
    </row>
    <row r="443" ht="15.75" customHeight="1">
      <c r="C443" s="5"/>
      <c r="F443" s="5"/>
      <c r="G443" s="5"/>
      <c r="J443" s="5"/>
      <c r="M443" s="5"/>
      <c r="P443" s="5"/>
      <c r="S443" s="5"/>
      <c r="V443" s="5"/>
    </row>
    <row r="444" ht="15.75" customHeight="1">
      <c r="C444" s="5"/>
      <c r="F444" s="5"/>
      <c r="G444" s="5"/>
      <c r="J444" s="5"/>
      <c r="M444" s="5"/>
      <c r="P444" s="5"/>
      <c r="S444" s="5"/>
      <c r="V444" s="5"/>
    </row>
    <row r="445" ht="15.75" customHeight="1">
      <c r="C445" s="5"/>
      <c r="F445" s="5"/>
      <c r="G445" s="5"/>
      <c r="J445" s="5"/>
      <c r="M445" s="5"/>
      <c r="P445" s="5"/>
      <c r="S445" s="5"/>
      <c r="V445" s="5"/>
    </row>
    <row r="446" ht="15.75" customHeight="1">
      <c r="C446" s="5"/>
      <c r="F446" s="5"/>
      <c r="G446" s="5"/>
      <c r="J446" s="5"/>
      <c r="M446" s="5"/>
      <c r="P446" s="5"/>
      <c r="S446" s="5"/>
      <c r="V446" s="5"/>
    </row>
    <row r="447" ht="15.75" customHeight="1">
      <c r="C447" s="5"/>
      <c r="F447" s="5"/>
      <c r="G447" s="5"/>
      <c r="J447" s="5"/>
      <c r="M447" s="5"/>
      <c r="P447" s="5"/>
      <c r="S447" s="5"/>
      <c r="V447" s="5"/>
    </row>
    <row r="448" ht="15.75" customHeight="1">
      <c r="C448" s="5"/>
      <c r="F448" s="5"/>
      <c r="G448" s="5"/>
      <c r="J448" s="5"/>
      <c r="M448" s="5"/>
      <c r="P448" s="5"/>
      <c r="S448" s="5"/>
      <c r="V448" s="5"/>
    </row>
    <row r="449" ht="15.75" customHeight="1">
      <c r="C449" s="5"/>
      <c r="F449" s="5"/>
      <c r="G449" s="5"/>
      <c r="J449" s="5"/>
      <c r="M449" s="5"/>
      <c r="P449" s="5"/>
      <c r="S449" s="5"/>
      <c r="V449" s="5"/>
    </row>
    <row r="450" ht="15.75" customHeight="1">
      <c r="C450" s="5"/>
      <c r="F450" s="5"/>
      <c r="G450" s="5"/>
      <c r="J450" s="5"/>
      <c r="M450" s="5"/>
      <c r="P450" s="5"/>
      <c r="S450" s="5"/>
      <c r="V450" s="5"/>
    </row>
    <row r="451" ht="15.75" customHeight="1">
      <c r="C451" s="5"/>
      <c r="F451" s="5"/>
      <c r="G451" s="5"/>
      <c r="J451" s="5"/>
      <c r="M451" s="5"/>
      <c r="P451" s="5"/>
      <c r="S451" s="5"/>
      <c r="V451" s="5"/>
    </row>
    <row r="452" ht="15.75" customHeight="1">
      <c r="C452" s="5"/>
      <c r="F452" s="5"/>
      <c r="G452" s="5"/>
      <c r="J452" s="5"/>
      <c r="M452" s="5"/>
      <c r="P452" s="5"/>
      <c r="S452" s="5"/>
      <c r="V452" s="5"/>
    </row>
    <row r="453" ht="15.75" customHeight="1">
      <c r="C453" s="5"/>
      <c r="F453" s="5"/>
      <c r="G453" s="5"/>
      <c r="J453" s="5"/>
      <c r="M453" s="5"/>
      <c r="P453" s="5"/>
      <c r="S453" s="5"/>
      <c r="V453" s="5"/>
    </row>
    <row r="454" ht="15.75" customHeight="1">
      <c r="C454" s="5"/>
      <c r="F454" s="5"/>
      <c r="G454" s="5"/>
      <c r="J454" s="5"/>
      <c r="M454" s="5"/>
      <c r="P454" s="5"/>
      <c r="S454" s="5"/>
      <c r="V454" s="5"/>
    </row>
    <row r="455" ht="15.75" customHeight="1">
      <c r="C455" s="5"/>
      <c r="F455" s="5"/>
      <c r="G455" s="5"/>
      <c r="J455" s="5"/>
      <c r="M455" s="5"/>
      <c r="P455" s="5"/>
      <c r="S455" s="5"/>
      <c r="V455" s="5"/>
    </row>
    <row r="456" ht="15.75" customHeight="1">
      <c r="C456" s="5"/>
      <c r="F456" s="5"/>
      <c r="G456" s="5"/>
      <c r="J456" s="5"/>
      <c r="M456" s="5"/>
      <c r="P456" s="5"/>
      <c r="S456" s="5"/>
      <c r="V456" s="5"/>
    </row>
    <row r="457" ht="15.75" customHeight="1">
      <c r="C457" s="5"/>
      <c r="F457" s="5"/>
      <c r="G457" s="5"/>
      <c r="J457" s="5"/>
      <c r="M457" s="5"/>
      <c r="P457" s="5"/>
      <c r="S457" s="5"/>
      <c r="V457" s="5"/>
    </row>
    <row r="458" ht="15.75" customHeight="1">
      <c r="C458" s="5"/>
      <c r="F458" s="5"/>
      <c r="G458" s="5"/>
      <c r="J458" s="5"/>
      <c r="M458" s="5"/>
      <c r="P458" s="5"/>
      <c r="S458" s="5"/>
      <c r="V458" s="5"/>
    </row>
    <row r="459" ht="15.75" customHeight="1">
      <c r="C459" s="5"/>
      <c r="F459" s="5"/>
      <c r="G459" s="5"/>
      <c r="J459" s="5"/>
      <c r="M459" s="5"/>
      <c r="P459" s="5"/>
      <c r="S459" s="5"/>
      <c r="V459" s="5"/>
    </row>
    <row r="460" ht="15.75" customHeight="1">
      <c r="C460" s="5"/>
      <c r="F460" s="5"/>
      <c r="G460" s="5"/>
      <c r="J460" s="5"/>
      <c r="M460" s="5"/>
      <c r="P460" s="5"/>
      <c r="S460" s="5"/>
      <c r="V460" s="5"/>
    </row>
    <row r="461" ht="15.75" customHeight="1">
      <c r="C461" s="5"/>
      <c r="F461" s="5"/>
      <c r="G461" s="5"/>
      <c r="J461" s="5"/>
      <c r="M461" s="5"/>
      <c r="P461" s="5"/>
      <c r="S461" s="5"/>
      <c r="V461" s="5"/>
    </row>
    <row r="462" ht="15.75" customHeight="1">
      <c r="C462" s="5"/>
      <c r="F462" s="5"/>
      <c r="G462" s="5"/>
      <c r="J462" s="5"/>
      <c r="M462" s="5"/>
      <c r="P462" s="5"/>
      <c r="S462" s="5"/>
      <c r="V462" s="5"/>
    </row>
    <row r="463" ht="15.75" customHeight="1">
      <c r="C463" s="5"/>
      <c r="F463" s="5"/>
      <c r="G463" s="5"/>
      <c r="J463" s="5"/>
      <c r="M463" s="5"/>
      <c r="P463" s="5"/>
      <c r="S463" s="5"/>
      <c r="V463" s="5"/>
    </row>
    <row r="464" ht="15.75" customHeight="1">
      <c r="C464" s="5"/>
      <c r="F464" s="5"/>
      <c r="G464" s="5"/>
      <c r="J464" s="5"/>
      <c r="M464" s="5"/>
      <c r="P464" s="5"/>
      <c r="S464" s="5"/>
      <c r="V464" s="5"/>
    </row>
    <row r="465" ht="15.75" customHeight="1">
      <c r="C465" s="5"/>
      <c r="F465" s="5"/>
      <c r="G465" s="5"/>
      <c r="J465" s="5"/>
      <c r="M465" s="5"/>
      <c r="P465" s="5"/>
      <c r="S465" s="5"/>
      <c r="V465" s="5"/>
    </row>
    <row r="466" ht="15.75" customHeight="1">
      <c r="C466" s="5"/>
      <c r="F466" s="5"/>
      <c r="G466" s="5"/>
      <c r="J466" s="5"/>
      <c r="M466" s="5"/>
      <c r="P466" s="5"/>
      <c r="S466" s="5"/>
      <c r="V466" s="5"/>
    </row>
    <row r="467" ht="15.75" customHeight="1">
      <c r="C467" s="5"/>
      <c r="F467" s="5"/>
      <c r="G467" s="5"/>
      <c r="J467" s="5"/>
      <c r="M467" s="5"/>
      <c r="P467" s="5"/>
      <c r="S467" s="5"/>
      <c r="V467" s="5"/>
    </row>
    <row r="468" ht="15.75" customHeight="1">
      <c r="C468" s="5"/>
      <c r="F468" s="5"/>
      <c r="G468" s="5"/>
      <c r="J468" s="5"/>
      <c r="M468" s="5"/>
      <c r="P468" s="5"/>
      <c r="S468" s="5"/>
      <c r="V468" s="5"/>
    </row>
    <row r="469" ht="15.75" customHeight="1">
      <c r="C469" s="5"/>
      <c r="F469" s="5"/>
      <c r="G469" s="5"/>
      <c r="J469" s="5"/>
      <c r="M469" s="5"/>
      <c r="P469" s="5"/>
      <c r="S469" s="5"/>
      <c r="V469" s="5"/>
    </row>
    <row r="470" ht="15.75" customHeight="1">
      <c r="C470" s="5"/>
      <c r="F470" s="5"/>
      <c r="G470" s="5"/>
      <c r="J470" s="5"/>
      <c r="M470" s="5"/>
      <c r="P470" s="5"/>
      <c r="S470" s="5"/>
      <c r="V470" s="5"/>
    </row>
    <row r="471" ht="15.75" customHeight="1">
      <c r="C471" s="5"/>
      <c r="F471" s="5"/>
      <c r="G471" s="5"/>
      <c r="J471" s="5"/>
      <c r="M471" s="5"/>
      <c r="P471" s="5"/>
      <c r="S471" s="5"/>
      <c r="V471" s="5"/>
    </row>
    <row r="472" ht="15.75" customHeight="1">
      <c r="C472" s="5"/>
      <c r="F472" s="5"/>
      <c r="G472" s="5"/>
      <c r="J472" s="5"/>
      <c r="M472" s="5"/>
      <c r="P472" s="5"/>
      <c r="S472" s="5"/>
      <c r="V472" s="5"/>
    </row>
    <row r="473" ht="15.75" customHeight="1">
      <c r="C473" s="5"/>
      <c r="F473" s="5"/>
      <c r="G473" s="5"/>
      <c r="J473" s="5"/>
      <c r="M473" s="5"/>
      <c r="P473" s="5"/>
      <c r="S473" s="5"/>
      <c r="V473" s="5"/>
    </row>
    <row r="474" ht="15.75" customHeight="1">
      <c r="C474" s="5"/>
      <c r="F474" s="5"/>
      <c r="G474" s="5"/>
      <c r="J474" s="5"/>
      <c r="M474" s="5"/>
      <c r="P474" s="5"/>
      <c r="S474" s="5"/>
      <c r="V474" s="5"/>
    </row>
    <row r="475" ht="15.75" customHeight="1">
      <c r="C475" s="5"/>
      <c r="F475" s="5"/>
      <c r="G475" s="5"/>
      <c r="J475" s="5"/>
      <c r="M475" s="5"/>
      <c r="P475" s="5"/>
      <c r="S475" s="5"/>
      <c r="V475" s="5"/>
    </row>
    <row r="476" ht="15.75" customHeight="1">
      <c r="C476" s="5"/>
      <c r="F476" s="5"/>
      <c r="G476" s="5"/>
      <c r="J476" s="5"/>
      <c r="M476" s="5"/>
      <c r="P476" s="5"/>
      <c r="S476" s="5"/>
      <c r="V476" s="5"/>
    </row>
    <row r="477" ht="15.75" customHeight="1">
      <c r="C477" s="5"/>
      <c r="F477" s="5"/>
      <c r="G477" s="5"/>
      <c r="J477" s="5"/>
      <c r="M477" s="5"/>
      <c r="P477" s="5"/>
      <c r="S477" s="5"/>
      <c r="V477" s="5"/>
    </row>
    <row r="478" ht="15.75" customHeight="1">
      <c r="C478" s="5"/>
      <c r="F478" s="5"/>
      <c r="G478" s="5"/>
      <c r="J478" s="5"/>
      <c r="M478" s="5"/>
      <c r="P478" s="5"/>
      <c r="S478" s="5"/>
      <c r="V478" s="5"/>
    </row>
    <row r="479" ht="15.75" customHeight="1">
      <c r="C479" s="5"/>
      <c r="F479" s="5"/>
      <c r="G479" s="5"/>
      <c r="J479" s="5"/>
      <c r="M479" s="5"/>
      <c r="P479" s="5"/>
      <c r="S479" s="5"/>
      <c r="V479" s="5"/>
    </row>
    <row r="480" ht="15.75" customHeight="1">
      <c r="C480" s="5"/>
      <c r="F480" s="5"/>
      <c r="G480" s="5"/>
      <c r="J480" s="5"/>
      <c r="M480" s="5"/>
      <c r="P480" s="5"/>
      <c r="S480" s="5"/>
      <c r="V480" s="5"/>
    </row>
    <row r="481" ht="15.75" customHeight="1">
      <c r="C481" s="5"/>
      <c r="F481" s="5"/>
      <c r="G481" s="5"/>
      <c r="J481" s="5"/>
      <c r="M481" s="5"/>
      <c r="P481" s="5"/>
      <c r="S481" s="5"/>
      <c r="V481" s="5"/>
    </row>
    <row r="482" ht="15.75" customHeight="1">
      <c r="C482" s="5"/>
      <c r="F482" s="5"/>
      <c r="G482" s="5"/>
      <c r="J482" s="5"/>
      <c r="M482" s="5"/>
      <c r="P482" s="5"/>
      <c r="S482" s="5"/>
      <c r="V482" s="5"/>
    </row>
    <row r="483" ht="15.75" customHeight="1">
      <c r="C483" s="5"/>
      <c r="F483" s="5"/>
      <c r="G483" s="5"/>
      <c r="J483" s="5"/>
      <c r="M483" s="5"/>
      <c r="P483" s="5"/>
      <c r="S483" s="5"/>
      <c r="V483" s="5"/>
    </row>
    <row r="484" ht="15.75" customHeight="1">
      <c r="C484" s="5"/>
      <c r="F484" s="5"/>
      <c r="G484" s="5"/>
      <c r="J484" s="5"/>
      <c r="M484" s="5"/>
      <c r="P484" s="5"/>
      <c r="S484" s="5"/>
      <c r="V484" s="5"/>
    </row>
    <row r="485" ht="15.75" customHeight="1">
      <c r="C485" s="5"/>
      <c r="F485" s="5"/>
      <c r="G485" s="5"/>
      <c r="J485" s="5"/>
      <c r="M485" s="5"/>
      <c r="P485" s="5"/>
      <c r="S485" s="5"/>
      <c r="V485" s="5"/>
    </row>
    <row r="486" ht="15.75" customHeight="1">
      <c r="C486" s="5"/>
      <c r="F486" s="5"/>
      <c r="G486" s="5"/>
      <c r="J486" s="5"/>
      <c r="M486" s="5"/>
      <c r="P486" s="5"/>
      <c r="S486" s="5"/>
      <c r="V486" s="5"/>
    </row>
    <row r="487" ht="15.75" customHeight="1">
      <c r="C487" s="5"/>
      <c r="F487" s="5"/>
      <c r="G487" s="5"/>
      <c r="J487" s="5"/>
      <c r="M487" s="5"/>
      <c r="P487" s="5"/>
      <c r="S487" s="5"/>
      <c r="V487" s="5"/>
    </row>
    <row r="488" ht="15.75" customHeight="1">
      <c r="C488" s="5"/>
      <c r="F488" s="5"/>
      <c r="G488" s="5"/>
      <c r="J488" s="5"/>
      <c r="M488" s="5"/>
      <c r="P488" s="5"/>
      <c r="S488" s="5"/>
      <c r="V488" s="5"/>
    </row>
    <row r="489" ht="15.75" customHeight="1">
      <c r="C489" s="5"/>
      <c r="F489" s="5"/>
      <c r="G489" s="5"/>
      <c r="J489" s="5"/>
      <c r="M489" s="5"/>
      <c r="P489" s="5"/>
      <c r="S489" s="5"/>
      <c r="V489" s="5"/>
    </row>
    <row r="490" ht="15.75" customHeight="1">
      <c r="C490" s="5"/>
      <c r="F490" s="5"/>
      <c r="G490" s="5"/>
      <c r="J490" s="5"/>
      <c r="M490" s="5"/>
      <c r="P490" s="5"/>
      <c r="S490" s="5"/>
      <c r="V490" s="5"/>
    </row>
    <row r="491" ht="15.75" customHeight="1">
      <c r="C491" s="5"/>
      <c r="F491" s="5"/>
      <c r="G491" s="5"/>
      <c r="J491" s="5"/>
      <c r="M491" s="5"/>
      <c r="P491" s="5"/>
      <c r="S491" s="5"/>
      <c r="V491" s="5"/>
    </row>
    <row r="492" ht="15.75" customHeight="1">
      <c r="C492" s="5"/>
      <c r="F492" s="5"/>
      <c r="G492" s="5"/>
      <c r="J492" s="5"/>
      <c r="M492" s="5"/>
      <c r="P492" s="5"/>
      <c r="S492" s="5"/>
      <c r="V492" s="5"/>
    </row>
    <row r="493" ht="15.75" customHeight="1">
      <c r="C493" s="5"/>
      <c r="F493" s="5"/>
      <c r="G493" s="5"/>
      <c r="J493" s="5"/>
      <c r="M493" s="5"/>
      <c r="P493" s="5"/>
      <c r="S493" s="5"/>
      <c r="V493" s="5"/>
    </row>
    <row r="494" ht="15.75" customHeight="1">
      <c r="C494" s="5"/>
      <c r="F494" s="5"/>
      <c r="G494" s="5"/>
      <c r="J494" s="5"/>
      <c r="M494" s="5"/>
      <c r="P494" s="5"/>
      <c r="S494" s="5"/>
      <c r="V494" s="5"/>
    </row>
    <row r="495" ht="15.75" customHeight="1">
      <c r="C495" s="5"/>
      <c r="F495" s="5"/>
      <c r="G495" s="5"/>
      <c r="J495" s="5"/>
      <c r="M495" s="5"/>
      <c r="P495" s="5"/>
      <c r="S495" s="5"/>
      <c r="V495" s="5"/>
    </row>
    <row r="496" ht="15.75" customHeight="1">
      <c r="C496" s="5"/>
      <c r="F496" s="5"/>
      <c r="G496" s="5"/>
      <c r="J496" s="5"/>
      <c r="M496" s="5"/>
      <c r="P496" s="5"/>
      <c r="S496" s="5"/>
      <c r="V496" s="5"/>
    </row>
    <row r="497" ht="15.75" customHeight="1">
      <c r="C497" s="5"/>
      <c r="F497" s="5"/>
      <c r="G497" s="5"/>
      <c r="J497" s="5"/>
      <c r="M497" s="5"/>
      <c r="P497" s="5"/>
      <c r="S497" s="5"/>
      <c r="V497" s="5"/>
    </row>
    <row r="498" ht="15.75" customHeight="1">
      <c r="C498" s="5"/>
      <c r="F498" s="5"/>
      <c r="G498" s="5"/>
      <c r="J498" s="5"/>
      <c r="M498" s="5"/>
      <c r="P498" s="5"/>
      <c r="S498" s="5"/>
      <c r="V498" s="5"/>
    </row>
    <row r="499" ht="15.75" customHeight="1">
      <c r="C499" s="5"/>
      <c r="F499" s="5"/>
      <c r="G499" s="5"/>
      <c r="J499" s="5"/>
      <c r="M499" s="5"/>
      <c r="P499" s="5"/>
      <c r="S499" s="5"/>
      <c r="V499" s="5"/>
    </row>
    <row r="500" ht="15.75" customHeight="1">
      <c r="C500" s="5"/>
      <c r="F500" s="5"/>
      <c r="G500" s="5"/>
      <c r="J500" s="5"/>
      <c r="M500" s="5"/>
      <c r="P500" s="5"/>
      <c r="S500" s="5"/>
      <c r="V500" s="5"/>
    </row>
    <row r="501" ht="15.75" customHeight="1">
      <c r="C501" s="5"/>
      <c r="F501" s="5"/>
      <c r="G501" s="5"/>
      <c r="J501" s="5"/>
      <c r="M501" s="5"/>
      <c r="P501" s="5"/>
      <c r="S501" s="5"/>
      <c r="V501" s="5"/>
    </row>
    <row r="502" ht="15.75" customHeight="1">
      <c r="C502" s="5"/>
      <c r="F502" s="5"/>
      <c r="G502" s="5"/>
      <c r="J502" s="5"/>
      <c r="M502" s="5"/>
      <c r="P502" s="5"/>
      <c r="S502" s="5"/>
      <c r="V502" s="5"/>
    </row>
    <row r="503" ht="15.75" customHeight="1">
      <c r="C503" s="5"/>
      <c r="F503" s="5"/>
      <c r="G503" s="5"/>
      <c r="J503" s="5"/>
      <c r="M503" s="5"/>
      <c r="P503" s="5"/>
      <c r="S503" s="5"/>
      <c r="V503" s="5"/>
    </row>
    <row r="504" ht="15.75" customHeight="1">
      <c r="C504" s="5"/>
      <c r="F504" s="5"/>
      <c r="G504" s="5"/>
      <c r="J504" s="5"/>
      <c r="M504" s="5"/>
      <c r="P504" s="5"/>
      <c r="S504" s="5"/>
      <c r="V504" s="5"/>
    </row>
    <row r="505" ht="15.75" customHeight="1">
      <c r="C505" s="5"/>
      <c r="F505" s="5"/>
      <c r="G505" s="5"/>
      <c r="J505" s="5"/>
      <c r="M505" s="5"/>
      <c r="P505" s="5"/>
      <c r="S505" s="5"/>
      <c r="V505" s="5"/>
    </row>
    <row r="506" ht="15.75" customHeight="1">
      <c r="C506" s="5"/>
      <c r="F506" s="5"/>
      <c r="G506" s="5"/>
      <c r="J506" s="5"/>
      <c r="M506" s="5"/>
      <c r="P506" s="5"/>
      <c r="S506" s="5"/>
      <c r="V506" s="5"/>
    </row>
    <row r="507" ht="15.75" customHeight="1">
      <c r="C507" s="5"/>
      <c r="F507" s="5"/>
      <c r="G507" s="5"/>
      <c r="J507" s="5"/>
      <c r="M507" s="5"/>
      <c r="P507" s="5"/>
      <c r="S507" s="5"/>
      <c r="V507" s="5"/>
    </row>
    <row r="508" ht="15.75" customHeight="1">
      <c r="C508" s="5"/>
      <c r="F508" s="5"/>
      <c r="G508" s="5"/>
      <c r="J508" s="5"/>
      <c r="M508" s="5"/>
      <c r="P508" s="5"/>
      <c r="S508" s="5"/>
      <c r="V508" s="5"/>
    </row>
    <row r="509" ht="15.75" customHeight="1">
      <c r="C509" s="5"/>
      <c r="F509" s="5"/>
      <c r="G509" s="5"/>
      <c r="J509" s="5"/>
      <c r="M509" s="5"/>
      <c r="P509" s="5"/>
      <c r="S509" s="5"/>
      <c r="V509" s="5"/>
    </row>
    <row r="510" ht="15.75" customHeight="1">
      <c r="C510" s="5"/>
      <c r="F510" s="5"/>
      <c r="G510" s="5"/>
      <c r="J510" s="5"/>
      <c r="M510" s="5"/>
      <c r="P510" s="5"/>
      <c r="S510" s="5"/>
      <c r="V510" s="5"/>
    </row>
    <row r="511" ht="15.75" customHeight="1">
      <c r="C511" s="5"/>
      <c r="F511" s="5"/>
      <c r="G511" s="5"/>
      <c r="J511" s="5"/>
      <c r="M511" s="5"/>
      <c r="P511" s="5"/>
      <c r="S511" s="5"/>
      <c r="V511" s="5"/>
    </row>
    <row r="512" ht="15.75" customHeight="1">
      <c r="C512" s="5"/>
      <c r="F512" s="5"/>
      <c r="G512" s="5"/>
      <c r="J512" s="5"/>
      <c r="M512" s="5"/>
      <c r="P512" s="5"/>
      <c r="S512" s="5"/>
      <c r="V512" s="5"/>
    </row>
    <row r="513" ht="15.75" customHeight="1">
      <c r="C513" s="5"/>
      <c r="F513" s="5"/>
      <c r="G513" s="5"/>
      <c r="J513" s="5"/>
      <c r="M513" s="5"/>
      <c r="P513" s="5"/>
      <c r="S513" s="5"/>
      <c r="V513" s="5"/>
    </row>
    <row r="514" ht="15.75" customHeight="1">
      <c r="C514" s="5"/>
      <c r="F514" s="5"/>
      <c r="G514" s="5"/>
      <c r="J514" s="5"/>
      <c r="M514" s="5"/>
      <c r="P514" s="5"/>
      <c r="S514" s="5"/>
      <c r="V514" s="5"/>
    </row>
    <row r="515" ht="15.75" customHeight="1">
      <c r="C515" s="5"/>
      <c r="F515" s="5"/>
      <c r="G515" s="5"/>
      <c r="J515" s="5"/>
      <c r="M515" s="5"/>
      <c r="P515" s="5"/>
      <c r="S515" s="5"/>
      <c r="V515" s="5"/>
    </row>
    <row r="516" ht="15.75" customHeight="1">
      <c r="C516" s="5"/>
      <c r="F516" s="5"/>
      <c r="G516" s="5"/>
      <c r="J516" s="5"/>
      <c r="M516" s="5"/>
      <c r="P516" s="5"/>
      <c r="S516" s="5"/>
      <c r="V516" s="5"/>
    </row>
    <row r="517" ht="15.75" customHeight="1">
      <c r="C517" s="5"/>
      <c r="F517" s="5"/>
      <c r="G517" s="5"/>
      <c r="J517" s="5"/>
      <c r="M517" s="5"/>
      <c r="P517" s="5"/>
      <c r="S517" s="5"/>
      <c r="V517" s="5"/>
    </row>
    <row r="518" ht="15.75" customHeight="1">
      <c r="C518" s="5"/>
      <c r="F518" s="5"/>
      <c r="G518" s="5"/>
      <c r="J518" s="5"/>
      <c r="M518" s="5"/>
      <c r="P518" s="5"/>
      <c r="S518" s="5"/>
      <c r="V518" s="5"/>
    </row>
    <row r="519" ht="15.75" customHeight="1">
      <c r="C519" s="5"/>
      <c r="F519" s="5"/>
      <c r="G519" s="5"/>
      <c r="J519" s="5"/>
      <c r="M519" s="5"/>
      <c r="P519" s="5"/>
      <c r="S519" s="5"/>
      <c r="V519" s="5"/>
    </row>
    <row r="520" ht="15.75" customHeight="1">
      <c r="C520" s="5"/>
      <c r="F520" s="5"/>
      <c r="G520" s="5"/>
      <c r="J520" s="5"/>
      <c r="M520" s="5"/>
      <c r="P520" s="5"/>
      <c r="S520" s="5"/>
      <c r="V520" s="5"/>
    </row>
    <row r="521" ht="15.75" customHeight="1">
      <c r="C521" s="5"/>
      <c r="F521" s="5"/>
      <c r="G521" s="5"/>
      <c r="J521" s="5"/>
      <c r="M521" s="5"/>
      <c r="P521" s="5"/>
      <c r="S521" s="5"/>
      <c r="V521" s="5"/>
    </row>
    <row r="522" ht="15.75" customHeight="1">
      <c r="C522" s="5"/>
      <c r="F522" s="5"/>
      <c r="G522" s="5"/>
      <c r="J522" s="5"/>
      <c r="M522" s="5"/>
      <c r="P522" s="5"/>
      <c r="S522" s="5"/>
      <c r="V522" s="5"/>
    </row>
    <row r="523" ht="15.75" customHeight="1">
      <c r="C523" s="5"/>
      <c r="F523" s="5"/>
      <c r="G523" s="5"/>
      <c r="J523" s="5"/>
      <c r="M523" s="5"/>
      <c r="P523" s="5"/>
      <c r="S523" s="5"/>
      <c r="V523" s="5"/>
    </row>
    <row r="524" ht="15.75" customHeight="1">
      <c r="C524" s="5"/>
      <c r="F524" s="5"/>
      <c r="G524" s="5"/>
      <c r="J524" s="5"/>
      <c r="M524" s="5"/>
      <c r="P524" s="5"/>
      <c r="S524" s="5"/>
      <c r="V524" s="5"/>
    </row>
    <row r="525" ht="15.75" customHeight="1">
      <c r="C525" s="5"/>
      <c r="F525" s="5"/>
      <c r="G525" s="5"/>
      <c r="J525" s="5"/>
      <c r="M525" s="5"/>
      <c r="P525" s="5"/>
      <c r="S525" s="5"/>
      <c r="V525" s="5"/>
    </row>
    <row r="526" ht="15.75" customHeight="1">
      <c r="C526" s="5"/>
      <c r="F526" s="5"/>
      <c r="G526" s="5"/>
      <c r="J526" s="5"/>
      <c r="M526" s="5"/>
      <c r="P526" s="5"/>
      <c r="S526" s="5"/>
      <c r="V526" s="5"/>
    </row>
    <row r="527" ht="15.75" customHeight="1">
      <c r="C527" s="5"/>
      <c r="F527" s="5"/>
      <c r="G527" s="5"/>
      <c r="J527" s="5"/>
      <c r="M527" s="5"/>
      <c r="P527" s="5"/>
      <c r="S527" s="5"/>
      <c r="V527" s="5"/>
    </row>
    <row r="528" ht="15.75" customHeight="1">
      <c r="C528" s="5"/>
      <c r="F528" s="5"/>
      <c r="G528" s="5"/>
      <c r="J528" s="5"/>
      <c r="M528" s="5"/>
      <c r="P528" s="5"/>
      <c r="S528" s="5"/>
      <c r="V528" s="5"/>
    </row>
    <row r="529" ht="15.75" customHeight="1">
      <c r="C529" s="5"/>
      <c r="F529" s="5"/>
      <c r="G529" s="5"/>
      <c r="J529" s="5"/>
      <c r="M529" s="5"/>
      <c r="P529" s="5"/>
      <c r="S529" s="5"/>
      <c r="V529" s="5"/>
    </row>
    <row r="530" ht="15.75" customHeight="1">
      <c r="C530" s="5"/>
      <c r="F530" s="5"/>
      <c r="G530" s="5"/>
      <c r="J530" s="5"/>
      <c r="M530" s="5"/>
      <c r="P530" s="5"/>
      <c r="S530" s="5"/>
      <c r="V530" s="5"/>
    </row>
    <row r="531" ht="15.75" customHeight="1">
      <c r="C531" s="5"/>
      <c r="F531" s="5"/>
      <c r="G531" s="5"/>
      <c r="J531" s="5"/>
      <c r="M531" s="5"/>
      <c r="P531" s="5"/>
      <c r="S531" s="5"/>
      <c r="V531" s="5"/>
    </row>
    <row r="532" ht="15.75" customHeight="1">
      <c r="C532" s="5"/>
      <c r="F532" s="5"/>
      <c r="G532" s="5"/>
      <c r="J532" s="5"/>
      <c r="M532" s="5"/>
      <c r="P532" s="5"/>
      <c r="S532" s="5"/>
      <c r="V532" s="5"/>
    </row>
    <row r="533" ht="15.75" customHeight="1">
      <c r="C533" s="5"/>
      <c r="F533" s="5"/>
      <c r="G533" s="5"/>
      <c r="J533" s="5"/>
      <c r="M533" s="5"/>
      <c r="P533" s="5"/>
      <c r="S533" s="5"/>
      <c r="V533" s="5"/>
    </row>
    <row r="534" ht="15.75" customHeight="1">
      <c r="C534" s="5"/>
      <c r="F534" s="5"/>
      <c r="G534" s="5"/>
      <c r="J534" s="5"/>
      <c r="M534" s="5"/>
      <c r="P534" s="5"/>
      <c r="S534" s="5"/>
      <c r="V534" s="5"/>
    </row>
    <row r="535" ht="15.75" customHeight="1">
      <c r="C535" s="5"/>
      <c r="F535" s="5"/>
      <c r="G535" s="5"/>
      <c r="J535" s="5"/>
      <c r="M535" s="5"/>
      <c r="P535" s="5"/>
      <c r="S535" s="5"/>
      <c r="V535" s="5"/>
    </row>
    <row r="536" ht="15.75" customHeight="1">
      <c r="C536" s="5"/>
      <c r="F536" s="5"/>
      <c r="G536" s="5"/>
      <c r="J536" s="5"/>
      <c r="M536" s="5"/>
      <c r="P536" s="5"/>
      <c r="S536" s="5"/>
      <c r="V536" s="5"/>
    </row>
    <row r="537" ht="15.75" customHeight="1">
      <c r="C537" s="5"/>
      <c r="F537" s="5"/>
      <c r="G537" s="5"/>
      <c r="J537" s="5"/>
      <c r="M537" s="5"/>
      <c r="P537" s="5"/>
      <c r="S537" s="5"/>
      <c r="V537" s="5"/>
    </row>
    <row r="538" ht="15.75" customHeight="1">
      <c r="C538" s="5"/>
      <c r="F538" s="5"/>
      <c r="G538" s="5"/>
      <c r="J538" s="5"/>
      <c r="M538" s="5"/>
      <c r="P538" s="5"/>
      <c r="S538" s="5"/>
      <c r="V538" s="5"/>
    </row>
    <row r="539" ht="15.75" customHeight="1">
      <c r="C539" s="5"/>
      <c r="F539" s="5"/>
      <c r="G539" s="5"/>
      <c r="J539" s="5"/>
      <c r="M539" s="5"/>
      <c r="P539" s="5"/>
      <c r="S539" s="5"/>
      <c r="V539" s="5"/>
    </row>
    <row r="540" ht="15.75" customHeight="1">
      <c r="C540" s="5"/>
      <c r="F540" s="5"/>
      <c r="G540" s="5"/>
      <c r="J540" s="5"/>
      <c r="M540" s="5"/>
      <c r="P540" s="5"/>
      <c r="S540" s="5"/>
      <c r="V540" s="5"/>
    </row>
    <row r="541" ht="15.75" customHeight="1">
      <c r="C541" s="5"/>
      <c r="F541" s="5"/>
      <c r="G541" s="5"/>
      <c r="J541" s="5"/>
      <c r="M541" s="5"/>
      <c r="P541" s="5"/>
      <c r="S541" s="5"/>
      <c r="V541" s="5"/>
    </row>
    <row r="542" ht="15.75" customHeight="1">
      <c r="C542" s="5"/>
      <c r="F542" s="5"/>
      <c r="G542" s="5"/>
      <c r="J542" s="5"/>
      <c r="M542" s="5"/>
      <c r="P542" s="5"/>
      <c r="S542" s="5"/>
      <c r="V542" s="5"/>
    </row>
    <row r="543" ht="15.75" customHeight="1">
      <c r="C543" s="5"/>
      <c r="F543" s="5"/>
      <c r="G543" s="5"/>
      <c r="J543" s="5"/>
      <c r="M543" s="5"/>
      <c r="P543" s="5"/>
      <c r="S543" s="5"/>
      <c r="V543" s="5"/>
    </row>
    <row r="544" ht="15.75" customHeight="1">
      <c r="C544" s="5"/>
      <c r="F544" s="5"/>
      <c r="G544" s="5"/>
      <c r="J544" s="5"/>
      <c r="M544" s="5"/>
      <c r="P544" s="5"/>
      <c r="S544" s="5"/>
      <c r="V544" s="5"/>
    </row>
    <row r="545" ht="15.75" customHeight="1">
      <c r="C545" s="5"/>
      <c r="F545" s="5"/>
      <c r="G545" s="5"/>
      <c r="J545" s="5"/>
      <c r="M545" s="5"/>
      <c r="P545" s="5"/>
      <c r="S545" s="5"/>
      <c r="V545" s="5"/>
    </row>
    <row r="546" ht="15.75" customHeight="1">
      <c r="C546" s="5"/>
      <c r="F546" s="5"/>
      <c r="G546" s="5"/>
      <c r="J546" s="5"/>
      <c r="M546" s="5"/>
      <c r="P546" s="5"/>
      <c r="S546" s="5"/>
      <c r="V546" s="5"/>
    </row>
    <row r="547" ht="15.75" customHeight="1">
      <c r="C547" s="5"/>
      <c r="F547" s="5"/>
      <c r="G547" s="5"/>
      <c r="J547" s="5"/>
      <c r="M547" s="5"/>
      <c r="P547" s="5"/>
      <c r="S547" s="5"/>
      <c r="V547" s="5"/>
    </row>
    <row r="548" ht="15.75" customHeight="1">
      <c r="C548" s="5"/>
      <c r="F548" s="5"/>
      <c r="G548" s="5"/>
      <c r="J548" s="5"/>
      <c r="M548" s="5"/>
      <c r="P548" s="5"/>
      <c r="S548" s="5"/>
      <c r="V548" s="5"/>
    </row>
    <row r="549" ht="15.75" customHeight="1">
      <c r="C549" s="5"/>
      <c r="F549" s="5"/>
      <c r="G549" s="5"/>
      <c r="J549" s="5"/>
      <c r="M549" s="5"/>
      <c r="P549" s="5"/>
      <c r="S549" s="5"/>
      <c r="V549" s="5"/>
    </row>
    <row r="550" ht="15.75" customHeight="1">
      <c r="C550" s="5"/>
      <c r="F550" s="5"/>
      <c r="G550" s="5"/>
      <c r="J550" s="5"/>
      <c r="M550" s="5"/>
      <c r="P550" s="5"/>
      <c r="S550" s="5"/>
      <c r="V550" s="5"/>
    </row>
    <row r="551" ht="15.75" customHeight="1">
      <c r="C551" s="5"/>
      <c r="F551" s="5"/>
      <c r="G551" s="5"/>
      <c r="J551" s="5"/>
      <c r="M551" s="5"/>
      <c r="P551" s="5"/>
      <c r="S551" s="5"/>
      <c r="V551" s="5"/>
    </row>
    <row r="552" ht="15.75" customHeight="1">
      <c r="C552" s="5"/>
      <c r="F552" s="5"/>
      <c r="G552" s="5"/>
      <c r="J552" s="5"/>
      <c r="M552" s="5"/>
      <c r="P552" s="5"/>
      <c r="S552" s="5"/>
      <c r="V552" s="5"/>
    </row>
    <row r="553" ht="15.75" customHeight="1">
      <c r="C553" s="5"/>
      <c r="F553" s="5"/>
      <c r="G553" s="5"/>
      <c r="J553" s="5"/>
      <c r="M553" s="5"/>
      <c r="P553" s="5"/>
      <c r="S553" s="5"/>
      <c r="V553" s="5"/>
    </row>
    <row r="554" ht="15.75" customHeight="1">
      <c r="C554" s="5"/>
      <c r="F554" s="5"/>
      <c r="G554" s="5"/>
      <c r="J554" s="5"/>
      <c r="M554" s="5"/>
      <c r="P554" s="5"/>
      <c r="S554" s="5"/>
      <c r="V554" s="5"/>
    </row>
    <row r="555" ht="15.75" customHeight="1">
      <c r="C555" s="5"/>
      <c r="F555" s="5"/>
      <c r="G555" s="5"/>
      <c r="J555" s="5"/>
      <c r="M555" s="5"/>
      <c r="P555" s="5"/>
      <c r="S555" s="5"/>
      <c r="V555" s="5"/>
    </row>
    <row r="556" ht="15.75" customHeight="1">
      <c r="C556" s="5"/>
      <c r="F556" s="5"/>
      <c r="G556" s="5"/>
      <c r="J556" s="5"/>
      <c r="M556" s="5"/>
      <c r="P556" s="5"/>
      <c r="S556" s="5"/>
      <c r="V556" s="5"/>
    </row>
    <row r="557" ht="15.75" customHeight="1">
      <c r="C557" s="5"/>
      <c r="F557" s="5"/>
      <c r="G557" s="5"/>
      <c r="J557" s="5"/>
      <c r="M557" s="5"/>
      <c r="P557" s="5"/>
      <c r="S557" s="5"/>
      <c r="V557" s="5"/>
    </row>
    <row r="558" ht="15.75" customHeight="1">
      <c r="C558" s="5"/>
      <c r="F558" s="5"/>
      <c r="G558" s="5"/>
      <c r="J558" s="5"/>
      <c r="M558" s="5"/>
      <c r="P558" s="5"/>
      <c r="S558" s="5"/>
      <c r="V558" s="5"/>
    </row>
    <row r="559" ht="15.75" customHeight="1">
      <c r="C559" s="5"/>
      <c r="F559" s="5"/>
      <c r="G559" s="5"/>
      <c r="J559" s="5"/>
      <c r="M559" s="5"/>
      <c r="P559" s="5"/>
      <c r="S559" s="5"/>
      <c r="V559" s="5"/>
    </row>
    <row r="560" ht="15.75" customHeight="1">
      <c r="C560" s="5"/>
      <c r="F560" s="5"/>
      <c r="G560" s="5"/>
      <c r="J560" s="5"/>
      <c r="M560" s="5"/>
      <c r="P560" s="5"/>
      <c r="S560" s="5"/>
      <c r="V560" s="5"/>
    </row>
    <row r="561" ht="15.75" customHeight="1">
      <c r="C561" s="5"/>
      <c r="F561" s="5"/>
      <c r="G561" s="5"/>
      <c r="J561" s="5"/>
      <c r="M561" s="5"/>
      <c r="P561" s="5"/>
      <c r="S561" s="5"/>
      <c r="V561" s="5"/>
    </row>
    <row r="562" ht="15.75" customHeight="1">
      <c r="C562" s="5"/>
      <c r="F562" s="5"/>
      <c r="G562" s="5"/>
      <c r="J562" s="5"/>
      <c r="M562" s="5"/>
      <c r="P562" s="5"/>
      <c r="S562" s="5"/>
      <c r="V562" s="5"/>
    </row>
    <row r="563" ht="15.75" customHeight="1">
      <c r="C563" s="5"/>
      <c r="F563" s="5"/>
      <c r="G563" s="5"/>
      <c r="J563" s="5"/>
      <c r="M563" s="5"/>
      <c r="P563" s="5"/>
      <c r="S563" s="5"/>
      <c r="V563" s="5"/>
    </row>
    <row r="564" ht="15.75" customHeight="1">
      <c r="C564" s="5"/>
      <c r="F564" s="5"/>
      <c r="G564" s="5"/>
      <c r="J564" s="5"/>
      <c r="M564" s="5"/>
      <c r="P564" s="5"/>
      <c r="S564" s="5"/>
      <c r="V564" s="5"/>
    </row>
    <row r="565" ht="15.75" customHeight="1">
      <c r="C565" s="5"/>
      <c r="F565" s="5"/>
      <c r="G565" s="5"/>
      <c r="J565" s="5"/>
      <c r="M565" s="5"/>
      <c r="P565" s="5"/>
      <c r="S565" s="5"/>
      <c r="V565" s="5"/>
    </row>
    <row r="566" ht="15.75" customHeight="1">
      <c r="C566" s="5"/>
      <c r="F566" s="5"/>
      <c r="G566" s="5"/>
      <c r="J566" s="5"/>
      <c r="M566" s="5"/>
      <c r="P566" s="5"/>
      <c r="S566" s="5"/>
      <c r="V566" s="5"/>
    </row>
    <row r="567" ht="15.75" customHeight="1">
      <c r="C567" s="5"/>
      <c r="F567" s="5"/>
      <c r="G567" s="5"/>
      <c r="J567" s="5"/>
      <c r="M567" s="5"/>
      <c r="P567" s="5"/>
      <c r="S567" s="5"/>
      <c r="V567" s="5"/>
    </row>
    <row r="568" ht="15.75" customHeight="1">
      <c r="C568" s="5"/>
      <c r="F568" s="5"/>
      <c r="G568" s="5"/>
      <c r="J568" s="5"/>
      <c r="M568" s="5"/>
      <c r="P568" s="5"/>
      <c r="S568" s="5"/>
      <c r="V568" s="5"/>
    </row>
    <row r="569" ht="15.75" customHeight="1">
      <c r="C569" s="5"/>
      <c r="F569" s="5"/>
      <c r="G569" s="5"/>
      <c r="J569" s="5"/>
      <c r="M569" s="5"/>
      <c r="P569" s="5"/>
      <c r="S569" s="5"/>
      <c r="V569" s="5"/>
    </row>
    <row r="570" ht="15.75" customHeight="1">
      <c r="C570" s="5"/>
      <c r="F570" s="5"/>
      <c r="G570" s="5"/>
      <c r="J570" s="5"/>
      <c r="M570" s="5"/>
      <c r="P570" s="5"/>
      <c r="S570" s="5"/>
      <c r="V570" s="5"/>
    </row>
    <row r="571" ht="15.75" customHeight="1">
      <c r="C571" s="5"/>
      <c r="F571" s="5"/>
      <c r="G571" s="5"/>
      <c r="J571" s="5"/>
      <c r="M571" s="5"/>
      <c r="P571" s="5"/>
      <c r="S571" s="5"/>
      <c r="V571" s="5"/>
    </row>
    <row r="572" ht="15.75" customHeight="1">
      <c r="C572" s="5"/>
      <c r="F572" s="5"/>
      <c r="G572" s="5"/>
      <c r="J572" s="5"/>
      <c r="M572" s="5"/>
      <c r="P572" s="5"/>
      <c r="S572" s="5"/>
      <c r="V572" s="5"/>
    </row>
    <row r="573" ht="15.75" customHeight="1">
      <c r="C573" s="5"/>
      <c r="F573" s="5"/>
      <c r="G573" s="5"/>
      <c r="J573" s="5"/>
      <c r="M573" s="5"/>
      <c r="P573" s="5"/>
      <c r="S573" s="5"/>
      <c r="V573" s="5"/>
    </row>
    <row r="574" ht="15.75" customHeight="1">
      <c r="C574" s="5"/>
      <c r="F574" s="5"/>
      <c r="G574" s="5"/>
      <c r="J574" s="5"/>
      <c r="M574" s="5"/>
      <c r="P574" s="5"/>
      <c r="S574" s="5"/>
      <c r="V574" s="5"/>
    </row>
    <row r="575" ht="15.75" customHeight="1">
      <c r="C575" s="5"/>
      <c r="F575" s="5"/>
      <c r="G575" s="5"/>
      <c r="J575" s="5"/>
      <c r="M575" s="5"/>
      <c r="P575" s="5"/>
      <c r="S575" s="5"/>
      <c r="V575" s="5"/>
    </row>
    <row r="576" ht="15.75" customHeight="1">
      <c r="C576" s="5"/>
      <c r="F576" s="5"/>
      <c r="G576" s="5"/>
      <c r="J576" s="5"/>
      <c r="M576" s="5"/>
      <c r="P576" s="5"/>
      <c r="S576" s="5"/>
      <c r="V576" s="5"/>
    </row>
    <row r="577" ht="15.75" customHeight="1">
      <c r="C577" s="5"/>
      <c r="F577" s="5"/>
      <c r="G577" s="5"/>
      <c r="J577" s="5"/>
      <c r="M577" s="5"/>
      <c r="P577" s="5"/>
      <c r="S577" s="5"/>
      <c r="V577" s="5"/>
    </row>
    <row r="578" ht="15.75" customHeight="1">
      <c r="C578" s="5"/>
      <c r="F578" s="5"/>
      <c r="G578" s="5"/>
      <c r="J578" s="5"/>
      <c r="M578" s="5"/>
      <c r="P578" s="5"/>
      <c r="S578" s="5"/>
      <c r="V578" s="5"/>
    </row>
    <row r="579" ht="15.75" customHeight="1">
      <c r="C579" s="5"/>
      <c r="F579" s="5"/>
      <c r="G579" s="5"/>
      <c r="J579" s="5"/>
      <c r="M579" s="5"/>
      <c r="P579" s="5"/>
      <c r="S579" s="5"/>
      <c r="V579" s="5"/>
    </row>
    <row r="580" ht="15.75" customHeight="1">
      <c r="C580" s="5"/>
      <c r="F580" s="5"/>
      <c r="G580" s="5"/>
      <c r="J580" s="5"/>
      <c r="M580" s="5"/>
      <c r="P580" s="5"/>
      <c r="S580" s="5"/>
      <c r="V580" s="5"/>
    </row>
    <row r="581" ht="15.75" customHeight="1">
      <c r="C581" s="5"/>
      <c r="F581" s="5"/>
      <c r="G581" s="5"/>
      <c r="J581" s="5"/>
      <c r="M581" s="5"/>
      <c r="P581" s="5"/>
      <c r="S581" s="5"/>
      <c r="V581" s="5"/>
    </row>
    <row r="582" ht="15.75" customHeight="1">
      <c r="C582" s="5"/>
      <c r="F582" s="5"/>
      <c r="G582" s="5"/>
      <c r="J582" s="5"/>
      <c r="M582" s="5"/>
      <c r="P582" s="5"/>
      <c r="S582" s="5"/>
      <c r="V582" s="5"/>
    </row>
    <row r="583" ht="15.75" customHeight="1">
      <c r="C583" s="5"/>
      <c r="F583" s="5"/>
      <c r="G583" s="5"/>
      <c r="J583" s="5"/>
      <c r="M583" s="5"/>
      <c r="P583" s="5"/>
      <c r="S583" s="5"/>
      <c r="V583" s="5"/>
    </row>
    <row r="584" ht="15.75" customHeight="1">
      <c r="C584" s="5"/>
      <c r="F584" s="5"/>
      <c r="G584" s="5"/>
      <c r="J584" s="5"/>
      <c r="M584" s="5"/>
      <c r="P584" s="5"/>
      <c r="S584" s="5"/>
      <c r="V584" s="5"/>
    </row>
    <row r="585" ht="15.75" customHeight="1">
      <c r="C585" s="5"/>
      <c r="F585" s="5"/>
      <c r="G585" s="5"/>
      <c r="J585" s="5"/>
      <c r="M585" s="5"/>
      <c r="P585" s="5"/>
      <c r="S585" s="5"/>
      <c r="V585" s="5"/>
    </row>
    <row r="586" ht="15.75" customHeight="1">
      <c r="C586" s="5"/>
      <c r="F586" s="5"/>
      <c r="G586" s="5"/>
      <c r="J586" s="5"/>
      <c r="M586" s="5"/>
      <c r="P586" s="5"/>
      <c r="S586" s="5"/>
      <c r="V586" s="5"/>
    </row>
    <row r="587" ht="15.75" customHeight="1">
      <c r="C587" s="5"/>
      <c r="F587" s="5"/>
      <c r="G587" s="5"/>
      <c r="J587" s="5"/>
      <c r="M587" s="5"/>
      <c r="P587" s="5"/>
      <c r="S587" s="5"/>
      <c r="V587" s="5"/>
    </row>
    <row r="588" ht="15.75" customHeight="1">
      <c r="C588" s="5"/>
      <c r="F588" s="5"/>
      <c r="G588" s="5"/>
      <c r="J588" s="5"/>
      <c r="M588" s="5"/>
      <c r="P588" s="5"/>
      <c r="S588" s="5"/>
      <c r="V588" s="5"/>
    </row>
    <row r="589" ht="15.75" customHeight="1">
      <c r="C589" s="5"/>
      <c r="F589" s="5"/>
      <c r="G589" s="5"/>
      <c r="J589" s="5"/>
      <c r="M589" s="5"/>
      <c r="P589" s="5"/>
      <c r="S589" s="5"/>
      <c r="V589" s="5"/>
    </row>
    <row r="590" ht="15.75" customHeight="1">
      <c r="C590" s="5"/>
      <c r="F590" s="5"/>
      <c r="G590" s="5"/>
      <c r="J590" s="5"/>
      <c r="M590" s="5"/>
      <c r="P590" s="5"/>
      <c r="S590" s="5"/>
      <c r="V590" s="5"/>
    </row>
    <row r="591" ht="15.75" customHeight="1">
      <c r="C591" s="5"/>
      <c r="F591" s="5"/>
      <c r="G591" s="5"/>
      <c r="J591" s="5"/>
      <c r="M591" s="5"/>
      <c r="P591" s="5"/>
      <c r="S591" s="5"/>
      <c r="V591" s="5"/>
    </row>
    <row r="592" ht="15.75" customHeight="1">
      <c r="C592" s="5"/>
      <c r="F592" s="5"/>
      <c r="G592" s="5"/>
      <c r="J592" s="5"/>
      <c r="M592" s="5"/>
      <c r="P592" s="5"/>
      <c r="S592" s="5"/>
      <c r="V592" s="5"/>
    </row>
    <row r="593" ht="15.75" customHeight="1">
      <c r="C593" s="5"/>
      <c r="F593" s="5"/>
      <c r="G593" s="5"/>
      <c r="J593" s="5"/>
      <c r="M593" s="5"/>
      <c r="P593" s="5"/>
      <c r="S593" s="5"/>
      <c r="V593" s="5"/>
    </row>
    <row r="594" ht="15.75" customHeight="1">
      <c r="C594" s="5"/>
      <c r="F594" s="5"/>
      <c r="G594" s="5"/>
      <c r="J594" s="5"/>
      <c r="M594" s="5"/>
      <c r="P594" s="5"/>
      <c r="S594" s="5"/>
      <c r="V594" s="5"/>
    </row>
    <row r="595" ht="15.75" customHeight="1">
      <c r="C595" s="5"/>
      <c r="F595" s="5"/>
      <c r="G595" s="5"/>
      <c r="J595" s="5"/>
      <c r="M595" s="5"/>
      <c r="P595" s="5"/>
      <c r="S595" s="5"/>
      <c r="V595" s="5"/>
    </row>
    <row r="596" ht="15.75" customHeight="1">
      <c r="C596" s="5"/>
      <c r="F596" s="5"/>
      <c r="G596" s="5"/>
      <c r="J596" s="5"/>
      <c r="M596" s="5"/>
      <c r="P596" s="5"/>
      <c r="S596" s="5"/>
      <c r="V596" s="5"/>
    </row>
    <row r="597" ht="15.75" customHeight="1">
      <c r="C597" s="5"/>
      <c r="F597" s="5"/>
      <c r="G597" s="5"/>
      <c r="J597" s="5"/>
      <c r="M597" s="5"/>
      <c r="P597" s="5"/>
      <c r="S597" s="5"/>
      <c r="V597" s="5"/>
    </row>
    <row r="598" ht="15.75" customHeight="1">
      <c r="C598" s="5"/>
      <c r="F598" s="5"/>
      <c r="G598" s="5"/>
      <c r="J598" s="5"/>
      <c r="M598" s="5"/>
      <c r="P598" s="5"/>
      <c r="S598" s="5"/>
      <c r="V598" s="5"/>
    </row>
    <row r="599" ht="15.75" customHeight="1">
      <c r="C599" s="5"/>
      <c r="F599" s="5"/>
      <c r="G599" s="5"/>
      <c r="J599" s="5"/>
      <c r="M599" s="5"/>
      <c r="P599" s="5"/>
      <c r="S599" s="5"/>
      <c r="V599" s="5"/>
    </row>
    <row r="600" ht="15.75" customHeight="1">
      <c r="C600" s="5"/>
      <c r="F600" s="5"/>
      <c r="G600" s="5"/>
      <c r="J600" s="5"/>
      <c r="M600" s="5"/>
      <c r="P600" s="5"/>
      <c r="S600" s="5"/>
      <c r="V600" s="5"/>
    </row>
    <row r="601" ht="15.75" customHeight="1">
      <c r="C601" s="5"/>
      <c r="F601" s="5"/>
      <c r="G601" s="5"/>
      <c r="J601" s="5"/>
      <c r="M601" s="5"/>
      <c r="P601" s="5"/>
      <c r="S601" s="5"/>
      <c r="V601" s="5"/>
    </row>
    <row r="602" ht="15.75" customHeight="1">
      <c r="C602" s="5"/>
      <c r="F602" s="5"/>
      <c r="G602" s="5"/>
      <c r="J602" s="5"/>
      <c r="M602" s="5"/>
      <c r="P602" s="5"/>
      <c r="S602" s="5"/>
      <c r="V602" s="5"/>
    </row>
    <row r="603" ht="15.75" customHeight="1">
      <c r="C603" s="5"/>
      <c r="F603" s="5"/>
      <c r="G603" s="5"/>
      <c r="J603" s="5"/>
      <c r="M603" s="5"/>
      <c r="P603" s="5"/>
      <c r="S603" s="5"/>
      <c r="V603" s="5"/>
    </row>
    <row r="604" ht="15.75" customHeight="1">
      <c r="C604" s="5"/>
      <c r="F604" s="5"/>
      <c r="G604" s="5"/>
      <c r="J604" s="5"/>
      <c r="M604" s="5"/>
      <c r="P604" s="5"/>
      <c r="S604" s="5"/>
      <c r="V604" s="5"/>
    </row>
    <row r="605" ht="15.75" customHeight="1">
      <c r="C605" s="5"/>
      <c r="F605" s="5"/>
      <c r="G605" s="5"/>
      <c r="J605" s="5"/>
      <c r="M605" s="5"/>
      <c r="P605" s="5"/>
      <c r="S605" s="5"/>
      <c r="V605" s="5"/>
    </row>
    <row r="606" ht="15.75" customHeight="1">
      <c r="C606" s="5"/>
      <c r="F606" s="5"/>
      <c r="G606" s="5"/>
      <c r="J606" s="5"/>
      <c r="M606" s="5"/>
      <c r="P606" s="5"/>
      <c r="S606" s="5"/>
      <c r="V606" s="5"/>
    </row>
    <row r="607" ht="15.75" customHeight="1">
      <c r="C607" s="5"/>
      <c r="F607" s="5"/>
      <c r="G607" s="5"/>
      <c r="J607" s="5"/>
      <c r="M607" s="5"/>
      <c r="P607" s="5"/>
      <c r="S607" s="5"/>
      <c r="V607" s="5"/>
    </row>
    <row r="608" ht="15.75" customHeight="1">
      <c r="C608" s="5"/>
      <c r="F608" s="5"/>
      <c r="G608" s="5"/>
      <c r="J608" s="5"/>
      <c r="M608" s="5"/>
      <c r="P608" s="5"/>
      <c r="S608" s="5"/>
      <c r="V608" s="5"/>
    </row>
    <row r="609" ht="15.75" customHeight="1">
      <c r="C609" s="5"/>
      <c r="F609" s="5"/>
      <c r="G609" s="5"/>
      <c r="J609" s="5"/>
      <c r="M609" s="5"/>
      <c r="P609" s="5"/>
      <c r="S609" s="5"/>
      <c r="V609" s="5"/>
    </row>
    <row r="610" ht="15.75" customHeight="1">
      <c r="C610" s="5"/>
      <c r="F610" s="5"/>
      <c r="G610" s="5"/>
      <c r="J610" s="5"/>
      <c r="M610" s="5"/>
      <c r="P610" s="5"/>
      <c r="S610" s="5"/>
      <c r="V610" s="5"/>
    </row>
    <row r="611" ht="15.75" customHeight="1">
      <c r="C611" s="5"/>
      <c r="F611" s="5"/>
      <c r="G611" s="5"/>
      <c r="J611" s="5"/>
      <c r="M611" s="5"/>
      <c r="P611" s="5"/>
      <c r="S611" s="5"/>
      <c r="V611" s="5"/>
    </row>
    <row r="612" ht="15.75" customHeight="1">
      <c r="C612" s="5"/>
      <c r="F612" s="5"/>
      <c r="G612" s="5"/>
      <c r="J612" s="5"/>
      <c r="M612" s="5"/>
      <c r="P612" s="5"/>
      <c r="S612" s="5"/>
      <c r="V612" s="5"/>
    </row>
    <row r="613" ht="15.75" customHeight="1">
      <c r="C613" s="5"/>
      <c r="F613" s="5"/>
      <c r="G613" s="5"/>
      <c r="J613" s="5"/>
      <c r="M613" s="5"/>
      <c r="P613" s="5"/>
      <c r="S613" s="5"/>
      <c r="V613" s="5"/>
    </row>
    <row r="614" ht="15.75" customHeight="1">
      <c r="C614" s="5"/>
      <c r="F614" s="5"/>
      <c r="G614" s="5"/>
      <c r="J614" s="5"/>
      <c r="M614" s="5"/>
      <c r="P614" s="5"/>
      <c r="S614" s="5"/>
      <c r="V614" s="5"/>
    </row>
    <row r="615" ht="15.75" customHeight="1">
      <c r="C615" s="5"/>
      <c r="F615" s="5"/>
      <c r="G615" s="5"/>
      <c r="J615" s="5"/>
      <c r="M615" s="5"/>
      <c r="P615" s="5"/>
      <c r="S615" s="5"/>
      <c r="V615" s="5"/>
    </row>
    <row r="616" ht="15.75" customHeight="1">
      <c r="C616" s="5"/>
      <c r="F616" s="5"/>
      <c r="G616" s="5"/>
      <c r="J616" s="5"/>
      <c r="M616" s="5"/>
      <c r="P616" s="5"/>
      <c r="S616" s="5"/>
      <c r="V616" s="5"/>
    </row>
    <row r="617" ht="15.75" customHeight="1">
      <c r="C617" s="5"/>
      <c r="F617" s="5"/>
      <c r="G617" s="5"/>
      <c r="J617" s="5"/>
      <c r="M617" s="5"/>
      <c r="P617" s="5"/>
      <c r="S617" s="5"/>
      <c r="V617" s="5"/>
    </row>
    <row r="618" ht="15.75" customHeight="1">
      <c r="C618" s="5"/>
      <c r="F618" s="5"/>
      <c r="G618" s="5"/>
      <c r="J618" s="5"/>
      <c r="M618" s="5"/>
      <c r="P618" s="5"/>
      <c r="S618" s="5"/>
      <c r="V618" s="5"/>
    </row>
    <row r="619" ht="15.75" customHeight="1">
      <c r="C619" s="5"/>
      <c r="F619" s="5"/>
      <c r="G619" s="5"/>
      <c r="J619" s="5"/>
      <c r="M619" s="5"/>
      <c r="P619" s="5"/>
      <c r="S619" s="5"/>
      <c r="V619" s="5"/>
    </row>
    <row r="620" ht="15.75" customHeight="1">
      <c r="C620" s="5"/>
      <c r="F620" s="5"/>
      <c r="G620" s="5"/>
      <c r="J620" s="5"/>
      <c r="M620" s="5"/>
      <c r="P620" s="5"/>
      <c r="S620" s="5"/>
      <c r="V620" s="5"/>
    </row>
    <row r="621" ht="15.75" customHeight="1">
      <c r="C621" s="5"/>
      <c r="F621" s="5"/>
      <c r="G621" s="5"/>
      <c r="J621" s="5"/>
      <c r="M621" s="5"/>
      <c r="P621" s="5"/>
      <c r="S621" s="5"/>
      <c r="V621" s="5"/>
    </row>
    <row r="622" ht="15.75" customHeight="1">
      <c r="C622" s="5"/>
      <c r="F622" s="5"/>
      <c r="G622" s="5"/>
      <c r="J622" s="5"/>
      <c r="M622" s="5"/>
      <c r="P622" s="5"/>
      <c r="S622" s="5"/>
      <c r="V622" s="5"/>
    </row>
    <row r="623" ht="15.75" customHeight="1">
      <c r="C623" s="5"/>
      <c r="F623" s="5"/>
      <c r="G623" s="5"/>
      <c r="J623" s="5"/>
      <c r="M623" s="5"/>
      <c r="P623" s="5"/>
      <c r="S623" s="5"/>
      <c r="V623" s="5"/>
    </row>
    <row r="624" ht="15.75" customHeight="1">
      <c r="C624" s="5"/>
      <c r="F624" s="5"/>
      <c r="G624" s="5"/>
      <c r="J624" s="5"/>
      <c r="M624" s="5"/>
      <c r="P624" s="5"/>
      <c r="S624" s="5"/>
      <c r="V624" s="5"/>
    </row>
    <row r="625" ht="15.75" customHeight="1">
      <c r="C625" s="5"/>
      <c r="F625" s="5"/>
      <c r="G625" s="5"/>
      <c r="J625" s="5"/>
      <c r="M625" s="5"/>
      <c r="P625" s="5"/>
      <c r="S625" s="5"/>
      <c r="V625" s="5"/>
    </row>
    <row r="626" ht="15.75" customHeight="1">
      <c r="C626" s="5"/>
      <c r="F626" s="5"/>
      <c r="G626" s="5"/>
      <c r="J626" s="5"/>
      <c r="M626" s="5"/>
      <c r="P626" s="5"/>
      <c r="S626" s="5"/>
      <c r="V626" s="5"/>
    </row>
    <row r="627" ht="15.75" customHeight="1">
      <c r="C627" s="5"/>
      <c r="F627" s="5"/>
      <c r="G627" s="5"/>
      <c r="J627" s="5"/>
      <c r="M627" s="5"/>
      <c r="P627" s="5"/>
      <c r="S627" s="5"/>
      <c r="V627" s="5"/>
    </row>
    <row r="628" ht="15.75" customHeight="1">
      <c r="C628" s="5"/>
      <c r="F628" s="5"/>
      <c r="G628" s="5"/>
      <c r="J628" s="5"/>
      <c r="M628" s="5"/>
      <c r="P628" s="5"/>
      <c r="S628" s="5"/>
      <c r="V628" s="5"/>
    </row>
    <row r="629" ht="15.75" customHeight="1">
      <c r="C629" s="5"/>
      <c r="F629" s="5"/>
      <c r="G629" s="5"/>
      <c r="J629" s="5"/>
      <c r="M629" s="5"/>
      <c r="P629" s="5"/>
      <c r="S629" s="5"/>
      <c r="V629" s="5"/>
    </row>
    <row r="630" ht="15.75" customHeight="1">
      <c r="C630" s="5"/>
      <c r="F630" s="5"/>
      <c r="G630" s="5"/>
      <c r="J630" s="5"/>
      <c r="M630" s="5"/>
      <c r="P630" s="5"/>
      <c r="S630" s="5"/>
      <c r="V630" s="5"/>
    </row>
    <row r="631" ht="15.75" customHeight="1">
      <c r="C631" s="5"/>
      <c r="F631" s="5"/>
      <c r="G631" s="5"/>
      <c r="J631" s="5"/>
      <c r="M631" s="5"/>
      <c r="P631" s="5"/>
      <c r="S631" s="5"/>
      <c r="V631" s="5"/>
    </row>
    <row r="632" ht="15.75" customHeight="1">
      <c r="C632" s="5"/>
      <c r="F632" s="5"/>
      <c r="G632" s="5"/>
      <c r="J632" s="5"/>
      <c r="M632" s="5"/>
      <c r="P632" s="5"/>
      <c r="S632" s="5"/>
      <c r="V632" s="5"/>
    </row>
    <row r="633" ht="15.75" customHeight="1">
      <c r="C633" s="5"/>
      <c r="F633" s="5"/>
      <c r="G633" s="5"/>
      <c r="J633" s="5"/>
      <c r="M633" s="5"/>
      <c r="P633" s="5"/>
      <c r="S633" s="5"/>
      <c r="V633" s="5"/>
    </row>
    <row r="634" ht="15.75" customHeight="1">
      <c r="C634" s="5"/>
      <c r="F634" s="5"/>
      <c r="G634" s="5"/>
      <c r="J634" s="5"/>
      <c r="M634" s="5"/>
      <c r="P634" s="5"/>
      <c r="S634" s="5"/>
      <c r="V634" s="5"/>
    </row>
    <row r="635" ht="15.75" customHeight="1">
      <c r="C635" s="5"/>
      <c r="F635" s="5"/>
      <c r="G635" s="5"/>
      <c r="J635" s="5"/>
      <c r="M635" s="5"/>
      <c r="P635" s="5"/>
      <c r="S635" s="5"/>
      <c r="V635" s="5"/>
    </row>
    <row r="636" ht="15.75" customHeight="1">
      <c r="C636" s="5"/>
      <c r="F636" s="5"/>
      <c r="G636" s="5"/>
      <c r="J636" s="5"/>
      <c r="M636" s="5"/>
      <c r="P636" s="5"/>
      <c r="S636" s="5"/>
      <c r="V636" s="5"/>
    </row>
    <row r="637" ht="15.75" customHeight="1">
      <c r="C637" s="5"/>
      <c r="F637" s="5"/>
      <c r="G637" s="5"/>
      <c r="J637" s="5"/>
      <c r="M637" s="5"/>
      <c r="P637" s="5"/>
      <c r="S637" s="5"/>
      <c r="V637" s="5"/>
    </row>
    <row r="638" ht="15.75" customHeight="1">
      <c r="C638" s="5"/>
      <c r="F638" s="5"/>
      <c r="G638" s="5"/>
      <c r="J638" s="5"/>
      <c r="M638" s="5"/>
      <c r="P638" s="5"/>
      <c r="S638" s="5"/>
      <c r="V638" s="5"/>
    </row>
    <row r="639" ht="15.75" customHeight="1">
      <c r="C639" s="5"/>
      <c r="F639" s="5"/>
      <c r="G639" s="5"/>
      <c r="J639" s="5"/>
      <c r="M639" s="5"/>
      <c r="P639" s="5"/>
      <c r="S639" s="5"/>
      <c r="V639" s="5"/>
    </row>
    <row r="640" ht="15.75" customHeight="1">
      <c r="C640" s="5"/>
      <c r="F640" s="5"/>
      <c r="G640" s="5"/>
      <c r="J640" s="5"/>
      <c r="M640" s="5"/>
      <c r="P640" s="5"/>
      <c r="S640" s="5"/>
      <c r="V640" s="5"/>
    </row>
    <row r="641" ht="15.75" customHeight="1">
      <c r="C641" s="5"/>
      <c r="F641" s="5"/>
      <c r="G641" s="5"/>
      <c r="J641" s="5"/>
      <c r="M641" s="5"/>
      <c r="P641" s="5"/>
      <c r="S641" s="5"/>
      <c r="V641" s="5"/>
    </row>
    <row r="642" ht="15.75" customHeight="1">
      <c r="C642" s="5"/>
      <c r="F642" s="5"/>
      <c r="G642" s="5"/>
      <c r="J642" s="5"/>
      <c r="M642" s="5"/>
      <c r="P642" s="5"/>
      <c r="S642" s="5"/>
      <c r="V642" s="5"/>
    </row>
    <row r="643" ht="15.75" customHeight="1">
      <c r="C643" s="5"/>
      <c r="F643" s="5"/>
      <c r="G643" s="5"/>
      <c r="J643" s="5"/>
      <c r="M643" s="5"/>
      <c r="P643" s="5"/>
      <c r="S643" s="5"/>
      <c r="V643" s="5"/>
    </row>
    <row r="644" ht="15.75" customHeight="1">
      <c r="C644" s="5"/>
      <c r="F644" s="5"/>
      <c r="G644" s="5"/>
      <c r="J644" s="5"/>
      <c r="M644" s="5"/>
      <c r="P644" s="5"/>
      <c r="S644" s="5"/>
      <c r="V644" s="5"/>
    </row>
    <row r="645" ht="15.75" customHeight="1">
      <c r="C645" s="5"/>
      <c r="F645" s="5"/>
      <c r="G645" s="5"/>
      <c r="J645" s="5"/>
      <c r="M645" s="5"/>
      <c r="P645" s="5"/>
      <c r="S645" s="5"/>
      <c r="V645" s="5"/>
    </row>
    <row r="646" ht="15.75" customHeight="1">
      <c r="C646" s="5"/>
      <c r="F646" s="5"/>
      <c r="G646" s="5"/>
      <c r="J646" s="5"/>
      <c r="M646" s="5"/>
      <c r="P646" s="5"/>
      <c r="S646" s="5"/>
      <c r="V646" s="5"/>
    </row>
    <row r="647" ht="15.75" customHeight="1">
      <c r="C647" s="5"/>
      <c r="F647" s="5"/>
      <c r="G647" s="5"/>
      <c r="J647" s="5"/>
      <c r="M647" s="5"/>
      <c r="P647" s="5"/>
      <c r="S647" s="5"/>
      <c r="V647" s="5"/>
    </row>
    <row r="648" ht="15.75" customHeight="1">
      <c r="C648" s="5"/>
      <c r="F648" s="5"/>
      <c r="G648" s="5"/>
      <c r="J648" s="5"/>
      <c r="M648" s="5"/>
      <c r="P648" s="5"/>
      <c r="S648" s="5"/>
      <c r="V648" s="5"/>
    </row>
    <row r="649" ht="15.75" customHeight="1">
      <c r="C649" s="5"/>
      <c r="F649" s="5"/>
      <c r="G649" s="5"/>
      <c r="J649" s="5"/>
      <c r="M649" s="5"/>
      <c r="P649" s="5"/>
      <c r="S649" s="5"/>
      <c r="V649" s="5"/>
    </row>
    <row r="650" ht="15.75" customHeight="1">
      <c r="C650" s="5"/>
      <c r="F650" s="5"/>
      <c r="G650" s="5"/>
      <c r="J650" s="5"/>
      <c r="M650" s="5"/>
      <c r="P650" s="5"/>
      <c r="S650" s="5"/>
      <c r="V650" s="5"/>
    </row>
    <row r="651" ht="15.75" customHeight="1">
      <c r="C651" s="5"/>
      <c r="F651" s="5"/>
      <c r="G651" s="5"/>
      <c r="J651" s="5"/>
      <c r="M651" s="5"/>
      <c r="P651" s="5"/>
      <c r="S651" s="5"/>
      <c r="V651" s="5"/>
    </row>
    <row r="652" ht="15.75" customHeight="1">
      <c r="C652" s="5"/>
      <c r="F652" s="5"/>
      <c r="G652" s="5"/>
      <c r="J652" s="5"/>
      <c r="M652" s="5"/>
      <c r="P652" s="5"/>
      <c r="S652" s="5"/>
      <c r="V652" s="5"/>
    </row>
    <row r="653" ht="15.75" customHeight="1">
      <c r="C653" s="5"/>
      <c r="F653" s="5"/>
      <c r="G653" s="5"/>
      <c r="J653" s="5"/>
      <c r="M653" s="5"/>
      <c r="P653" s="5"/>
      <c r="S653" s="5"/>
      <c r="V653" s="5"/>
    </row>
    <row r="654" ht="15.75" customHeight="1">
      <c r="C654" s="5"/>
      <c r="F654" s="5"/>
      <c r="G654" s="5"/>
      <c r="J654" s="5"/>
      <c r="M654" s="5"/>
      <c r="P654" s="5"/>
      <c r="S654" s="5"/>
      <c r="V654" s="5"/>
    </row>
    <row r="655" ht="15.75" customHeight="1">
      <c r="C655" s="5"/>
      <c r="F655" s="5"/>
      <c r="G655" s="5"/>
      <c r="J655" s="5"/>
      <c r="M655" s="5"/>
      <c r="P655" s="5"/>
      <c r="S655" s="5"/>
      <c r="V655" s="5"/>
    </row>
    <row r="656" ht="15.75" customHeight="1">
      <c r="C656" s="5"/>
      <c r="F656" s="5"/>
      <c r="G656" s="5"/>
      <c r="J656" s="5"/>
      <c r="M656" s="5"/>
      <c r="P656" s="5"/>
      <c r="S656" s="5"/>
      <c r="V656" s="5"/>
    </row>
    <row r="657" ht="15.75" customHeight="1">
      <c r="C657" s="5"/>
      <c r="F657" s="5"/>
      <c r="G657" s="5"/>
      <c r="J657" s="5"/>
      <c r="M657" s="5"/>
      <c r="P657" s="5"/>
      <c r="S657" s="5"/>
      <c r="V657" s="5"/>
    </row>
    <row r="658" ht="15.75" customHeight="1">
      <c r="C658" s="5"/>
      <c r="F658" s="5"/>
      <c r="G658" s="5"/>
      <c r="J658" s="5"/>
      <c r="M658" s="5"/>
      <c r="P658" s="5"/>
      <c r="S658" s="5"/>
      <c r="V658" s="5"/>
    </row>
    <row r="659" ht="15.75" customHeight="1">
      <c r="C659" s="5"/>
      <c r="F659" s="5"/>
      <c r="G659" s="5"/>
      <c r="J659" s="5"/>
      <c r="M659" s="5"/>
      <c r="P659" s="5"/>
      <c r="S659" s="5"/>
      <c r="V659" s="5"/>
    </row>
    <row r="660" ht="15.75" customHeight="1">
      <c r="C660" s="5"/>
      <c r="F660" s="5"/>
      <c r="G660" s="5"/>
      <c r="J660" s="5"/>
      <c r="M660" s="5"/>
      <c r="P660" s="5"/>
      <c r="S660" s="5"/>
      <c r="V660" s="5"/>
    </row>
    <row r="661" ht="15.75" customHeight="1">
      <c r="C661" s="5"/>
      <c r="F661" s="5"/>
      <c r="G661" s="5"/>
      <c r="J661" s="5"/>
      <c r="M661" s="5"/>
      <c r="P661" s="5"/>
      <c r="S661" s="5"/>
      <c r="V661" s="5"/>
    </row>
    <row r="662" ht="15.75" customHeight="1">
      <c r="C662" s="5"/>
      <c r="F662" s="5"/>
      <c r="G662" s="5"/>
      <c r="J662" s="5"/>
      <c r="M662" s="5"/>
      <c r="P662" s="5"/>
      <c r="S662" s="5"/>
      <c r="V662" s="5"/>
    </row>
    <row r="663" ht="15.75" customHeight="1">
      <c r="C663" s="5"/>
      <c r="F663" s="5"/>
      <c r="G663" s="5"/>
      <c r="J663" s="5"/>
      <c r="M663" s="5"/>
      <c r="P663" s="5"/>
      <c r="S663" s="5"/>
      <c r="V663" s="5"/>
    </row>
    <row r="664" ht="15.75" customHeight="1">
      <c r="C664" s="5"/>
      <c r="F664" s="5"/>
      <c r="G664" s="5"/>
      <c r="J664" s="5"/>
      <c r="M664" s="5"/>
      <c r="P664" s="5"/>
      <c r="S664" s="5"/>
      <c r="V664" s="5"/>
    </row>
    <row r="665" ht="15.75" customHeight="1">
      <c r="C665" s="5"/>
      <c r="F665" s="5"/>
      <c r="G665" s="5"/>
      <c r="J665" s="5"/>
      <c r="M665" s="5"/>
      <c r="P665" s="5"/>
      <c r="S665" s="5"/>
      <c r="V665" s="5"/>
    </row>
    <row r="666" ht="15.75" customHeight="1">
      <c r="C666" s="5"/>
      <c r="F666" s="5"/>
      <c r="G666" s="5"/>
      <c r="J666" s="5"/>
      <c r="M666" s="5"/>
      <c r="P666" s="5"/>
      <c r="S666" s="5"/>
      <c r="V666" s="5"/>
    </row>
    <row r="667" ht="15.75" customHeight="1">
      <c r="C667" s="5"/>
      <c r="F667" s="5"/>
      <c r="G667" s="5"/>
      <c r="J667" s="5"/>
      <c r="M667" s="5"/>
      <c r="P667" s="5"/>
      <c r="S667" s="5"/>
      <c r="V667" s="5"/>
    </row>
    <row r="668" ht="15.75" customHeight="1">
      <c r="C668" s="5"/>
      <c r="F668" s="5"/>
      <c r="G668" s="5"/>
      <c r="J668" s="5"/>
      <c r="M668" s="5"/>
      <c r="P668" s="5"/>
      <c r="S668" s="5"/>
      <c r="V668" s="5"/>
    </row>
    <row r="669" ht="15.75" customHeight="1">
      <c r="C669" s="5"/>
      <c r="F669" s="5"/>
      <c r="G669" s="5"/>
      <c r="J669" s="5"/>
      <c r="M669" s="5"/>
      <c r="P669" s="5"/>
      <c r="S669" s="5"/>
      <c r="V669" s="5"/>
    </row>
    <row r="670" ht="15.75" customHeight="1">
      <c r="C670" s="5"/>
      <c r="F670" s="5"/>
      <c r="G670" s="5"/>
      <c r="J670" s="5"/>
      <c r="M670" s="5"/>
      <c r="P670" s="5"/>
      <c r="S670" s="5"/>
      <c r="V670" s="5"/>
    </row>
    <row r="671" ht="15.75" customHeight="1">
      <c r="C671" s="5"/>
      <c r="F671" s="5"/>
      <c r="G671" s="5"/>
      <c r="J671" s="5"/>
      <c r="M671" s="5"/>
      <c r="P671" s="5"/>
      <c r="S671" s="5"/>
      <c r="V671" s="5"/>
    </row>
    <row r="672" ht="15.75" customHeight="1">
      <c r="C672" s="5"/>
      <c r="F672" s="5"/>
      <c r="G672" s="5"/>
      <c r="J672" s="5"/>
      <c r="M672" s="5"/>
      <c r="P672" s="5"/>
      <c r="S672" s="5"/>
      <c r="V672" s="5"/>
    </row>
    <row r="673" ht="15.75" customHeight="1">
      <c r="C673" s="5"/>
      <c r="F673" s="5"/>
      <c r="G673" s="5"/>
      <c r="J673" s="5"/>
      <c r="M673" s="5"/>
      <c r="P673" s="5"/>
      <c r="S673" s="5"/>
      <c r="V673" s="5"/>
    </row>
    <row r="674" ht="15.75" customHeight="1">
      <c r="C674" s="5"/>
      <c r="F674" s="5"/>
      <c r="G674" s="5"/>
      <c r="J674" s="5"/>
      <c r="M674" s="5"/>
      <c r="P674" s="5"/>
      <c r="S674" s="5"/>
      <c r="V674" s="5"/>
    </row>
    <row r="675" ht="15.75" customHeight="1">
      <c r="C675" s="5"/>
      <c r="F675" s="5"/>
      <c r="G675" s="5"/>
      <c r="J675" s="5"/>
      <c r="M675" s="5"/>
      <c r="P675" s="5"/>
      <c r="S675" s="5"/>
      <c r="V675" s="5"/>
    </row>
    <row r="676" ht="15.75" customHeight="1">
      <c r="C676" s="5"/>
      <c r="F676" s="5"/>
      <c r="G676" s="5"/>
      <c r="J676" s="5"/>
      <c r="M676" s="5"/>
      <c r="P676" s="5"/>
      <c r="S676" s="5"/>
      <c r="V676" s="5"/>
    </row>
    <row r="677" ht="15.75" customHeight="1">
      <c r="C677" s="5"/>
      <c r="F677" s="5"/>
      <c r="G677" s="5"/>
      <c r="J677" s="5"/>
      <c r="M677" s="5"/>
      <c r="P677" s="5"/>
      <c r="S677" s="5"/>
      <c r="V677" s="5"/>
    </row>
    <row r="678" ht="15.75" customHeight="1">
      <c r="C678" s="5"/>
      <c r="F678" s="5"/>
      <c r="G678" s="5"/>
      <c r="J678" s="5"/>
      <c r="M678" s="5"/>
      <c r="P678" s="5"/>
      <c r="S678" s="5"/>
      <c r="V678" s="5"/>
    </row>
    <row r="679" ht="15.75" customHeight="1">
      <c r="C679" s="5"/>
      <c r="F679" s="5"/>
      <c r="G679" s="5"/>
      <c r="J679" s="5"/>
      <c r="M679" s="5"/>
      <c r="P679" s="5"/>
      <c r="S679" s="5"/>
      <c r="V679" s="5"/>
    </row>
    <row r="680" ht="15.75" customHeight="1">
      <c r="C680" s="5"/>
      <c r="F680" s="5"/>
      <c r="G680" s="5"/>
      <c r="J680" s="5"/>
      <c r="M680" s="5"/>
      <c r="P680" s="5"/>
      <c r="S680" s="5"/>
      <c r="V680" s="5"/>
    </row>
    <row r="681" ht="15.75" customHeight="1">
      <c r="C681" s="5"/>
      <c r="F681" s="5"/>
      <c r="G681" s="5"/>
      <c r="J681" s="5"/>
      <c r="M681" s="5"/>
      <c r="P681" s="5"/>
      <c r="S681" s="5"/>
      <c r="V681" s="5"/>
    </row>
    <row r="682" ht="15.75" customHeight="1">
      <c r="C682" s="5"/>
      <c r="F682" s="5"/>
      <c r="G682" s="5"/>
      <c r="J682" s="5"/>
      <c r="M682" s="5"/>
      <c r="P682" s="5"/>
      <c r="S682" s="5"/>
      <c r="V682" s="5"/>
    </row>
    <row r="683" ht="15.75" customHeight="1">
      <c r="C683" s="5"/>
      <c r="F683" s="5"/>
      <c r="G683" s="5"/>
      <c r="J683" s="5"/>
      <c r="M683" s="5"/>
      <c r="P683" s="5"/>
      <c r="S683" s="5"/>
      <c r="V683" s="5"/>
    </row>
    <row r="684" ht="15.75" customHeight="1">
      <c r="C684" s="5"/>
      <c r="F684" s="5"/>
      <c r="G684" s="5"/>
      <c r="J684" s="5"/>
      <c r="M684" s="5"/>
      <c r="P684" s="5"/>
      <c r="S684" s="5"/>
      <c r="V684" s="5"/>
    </row>
    <row r="685" ht="15.75" customHeight="1">
      <c r="C685" s="5"/>
      <c r="F685" s="5"/>
      <c r="G685" s="5"/>
      <c r="J685" s="5"/>
      <c r="M685" s="5"/>
      <c r="P685" s="5"/>
      <c r="S685" s="5"/>
      <c r="V685" s="5"/>
    </row>
    <row r="686" ht="15.75" customHeight="1">
      <c r="C686" s="5"/>
      <c r="F686" s="5"/>
      <c r="G686" s="5"/>
      <c r="J686" s="5"/>
      <c r="M686" s="5"/>
      <c r="P686" s="5"/>
      <c r="S686" s="5"/>
      <c r="V686" s="5"/>
    </row>
    <row r="687" ht="15.75" customHeight="1">
      <c r="C687" s="5"/>
      <c r="F687" s="5"/>
      <c r="G687" s="5"/>
      <c r="J687" s="5"/>
      <c r="M687" s="5"/>
      <c r="P687" s="5"/>
      <c r="S687" s="5"/>
      <c r="V687" s="5"/>
    </row>
    <row r="688" ht="15.75" customHeight="1">
      <c r="C688" s="5"/>
      <c r="F688" s="5"/>
      <c r="G688" s="5"/>
      <c r="J688" s="5"/>
      <c r="M688" s="5"/>
      <c r="P688" s="5"/>
      <c r="S688" s="5"/>
      <c r="V688" s="5"/>
    </row>
    <row r="689" ht="15.75" customHeight="1">
      <c r="C689" s="5"/>
      <c r="F689" s="5"/>
      <c r="G689" s="5"/>
      <c r="J689" s="5"/>
      <c r="M689" s="5"/>
      <c r="P689" s="5"/>
      <c r="S689" s="5"/>
      <c r="V689" s="5"/>
    </row>
    <row r="690" ht="15.75" customHeight="1">
      <c r="C690" s="5"/>
      <c r="F690" s="5"/>
      <c r="G690" s="5"/>
      <c r="J690" s="5"/>
      <c r="M690" s="5"/>
      <c r="P690" s="5"/>
      <c r="S690" s="5"/>
      <c r="V690" s="5"/>
    </row>
    <row r="691" ht="15.75" customHeight="1">
      <c r="C691" s="5"/>
      <c r="F691" s="5"/>
      <c r="G691" s="5"/>
      <c r="J691" s="5"/>
      <c r="M691" s="5"/>
      <c r="P691" s="5"/>
      <c r="S691" s="5"/>
      <c r="V691" s="5"/>
    </row>
    <row r="692" ht="15.75" customHeight="1">
      <c r="C692" s="5"/>
      <c r="F692" s="5"/>
      <c r="G692" s="5"/>
      <c r="J692" s="5"/>
      <c r="M692" s="5"/>
      <c r="P692" s="5"/>
      <c r="S692" s="5"/>
      <c r="V692" s="5"/>
    </row>
    <row r="693" ht="15.75" customHeight="1">
      <c r="C693" s="5"/>
      <c r="F693" s="5"/>
      <c r="G693" s="5"/>
      <c r="J693" s="5"/>
      <c r="M693" s="5"/>
      <c r="P693" s="5"/>
      <c r="S693" s="5"/>
      <c r="V693" s="5"/>
    </row>
    <row r="694" ht="15.75" customHeight="1">
      <c r="C694" s="5"/>
      <c r="F694" s="5"/>
      <c r="G694" s="5"/>
      <c r="J694" s="5"/>
      <c r="M694" s="5"/>
      <c r="P694" s="5"/>
      <c r="S694" s="5"/>
      <c r="V694" s="5"/>
    </row>
    <row r="695" ht="15.75" customHeight="1">
      <c r="C695" s="5"/>
      <c r="F695" s="5"/>
      <c r="G695" s="5"/>
      <c r="J695" s="5"/>
      <c r="M695" s="5"/>
      <c r="P695" s="5"/>
      <c r="S695" s="5"/>
      <c r="V695" s="5"/>
    </row>
    <row r="696" ht="15.75" customHeight="1">
      <c r="C696" s="5"/>
      <c r="F696" s="5"/>
      <c r="G696" s="5"/>
      <c r="J696" s="5"/>
      <c r="M696" s="5"/>
      <c r="P696" s="5"/>
      <c r="S696" s="5"/>
      <c r="V696" s="5"/>
    </row>
    <row r="697" ht="15.75" customHeight="1">
      <c r="C697" s="5"/>
      <c r="F697" s="5"/>
      <c r="G697" s="5"/>
      <c r="J697" s="5"/>
      <c r="M697" s="5"/>
      <c r="P697" s="5"/>
      <c r="S697" s="5"/>
      <c r="V697" s="5"/>
    </row>
    <row r="698" ht="15.75" customHeight="1">
      <c r="C698" s="5"/>
      <c r="F698" s="5"/>
      <c r="G698" s="5"/>
      <c r="J698" s="5"/>
      <c r="M698" s="5"/>
      <c r="P698" s="5"/>
      <c r="S698" s="5"/>
      <c r="V698" s="5"/>
    </row>
    <row r="699" ht="15.75" customHeight="1">
      <c r="C699" s="5"/>
      <c r="F699" s="5"/>
      <c r="G699" s="5"/>
      <c r="J699" s="5"/>
      <c r="M699" s="5"/>
      <c r="P699" s="5"/>
      <c r="S699" s="5"/>
      <c r="V699" s="5"/>
    </row>
    <row r="700" ht="15.75" customHeight="1">
      <c r="C700" s="5"/>
      <c r="F700" s="5"/>
      <c r="G700" s="5"/>
      <c r="J700" s="5"/>
      <c r="M700" s="5"/>
      <c r="P700" s="5"/>
      <c r="S700" s="5"/>
      <c r="V700" s="5"/>
    </row>
    <row r="701" ht="15.75" customHeight="1">
      <c r="C701" s="5"/>
      <c r="F701" s="5"/>
      <c r="G701" s="5"/>
      <c r="J701" s="5"/>
      <c r="M701" s="5"/>
      <c r="P701" s="5"/>
      <c r="S701" s="5"/>
      <c r="V701" s="5"/>
    </row>
    <row r="702" ht="15.75" customHeight="1">
      <c r="C702" s="5"/>
      <c r="F702" s="5"/>
      <c r="G702" s="5"/>
      <c r="J702" s="5"/>
      <c r="M702" s="5"/>
      <c r="P702" s="5"/>
      <c r="S702" s="5"/>
      <c r="V702" s="5"/>
    </row>
    <row r="703" ht="15.75" customHeight="1">
      <c r="C703" s="5"/>
      <c r="F703" s="5"/>
      <c r="G703" s="5"/>
      <c r="J703" s="5"/>
      <c r="M703" s="5"/>
      <c r="P703" s="5"/>
      <c r="S703" s="5"/>
      <c r="V703" s="5"/>
    </row>
    <row r="704" ht="15.75" customHeight="1">
      <c r="C704" s="5"/>
      <c r="F704" s="5"/>
      <c r="G704" s="5"/>
      <c r="J704" s="5"/>
      <c r="M704" s="5"/>
      <c r="P704" s="5"/>
      <c r="S704" s="5"/>
      <c r="V704" s="5"/>
    </row>
    <row r="705" ht="15.75" customHeight="1">
      <c r="C705" s="5"/>
      <c r="F705" s="5"/>
      <c r="G705" s="5"/>
      <c r="J705" s="5"/>
      <c r="M705" s="5"/>
      <c r="P705" s="5"/>
      <c r="S705" s="5"/>
      <c r="V705" s="5"/>
    </row>
    <row r="706" ht="15.75" customHeight="1">
      <c r="C706" s="5"/>
      <c r="F706" s="5"/>
      <c r="G706" s="5"/>
      <c r="J706" s="5"/>
      <c r="M706" s="5"/>
      <c r="P706" s="5"/>
      <c r="S706" s="5"/>
      <c r="V706" s="5"/>
    </row>
    <row r="707" ht="15.75" customHeight="1">
      <c r="C707" s="5"/>
      <c r="F707" s="5"/>
      <c r="G707" s="5"/>
      <c r="J707" s="5"/>
      <c r="M707" s="5"/>
      <c r="P707" s="5"/>
      <c r="S707" s="5"/>
      <c r="V707" s="5"/>
    </row>
    <row r="708" ht="15.75" customHeight="1">
      <c r="C708" s="5"/>
      <c r="F708" s="5"/>
      <c r="G708" s="5"/>
      <c r="J708" s="5"/>
      <c r="M708" s="5"/>
      <c r="P708" s="5"/>
      <c r="S708" s="5"/>
      <c r="V708" s="5"/>
    </row>
    <row r="709" ht="15.75" customHeight="1">
      <c r="C709" s="5"/>
      <c r="F709" s="5"/>
      <c r="G709" s="5"/>
      <c r="J709" s="5"/>
      <c r="M709" s="5"/>
      <c r="P709" s="5"/>
      <c r="S709" s="5"/>
      <c r="V709" s="5"/>
    </row>
    <row r="710" ht="15.75" customHeight="1">
      <c r="C710" s="5"/>
      <c r="F710" s="5"/>
      <c r="G710" s="5"/>
      <c r="J710" s="5"/>
      <c r="M710" s="5"/>
      <c r="P710" s="5"/>
      <c r="S710" s="5"/>
      <c r="V710" s="5"/>
    </row>
    <row r="711" ht="15.75" customHeight="1">
      <c r="C711" s="5"/>
      <c r="F711" s="5"/>
      <c r="G711" s="5"/>
      <c r="J711" s="5"/>
      <c r="M711" s="5"/>
      <c r="P711" s="5"/>
      <c r="S711" s="5"/>
      <c r="V711" s="5"/>
    </row>
    <row r="712" ht="15.75" customHeight="1">
      <c r="C712" s="5"/>
      <c r="F712" s="5"/>
      <c r="G712" s="5"/>
      <c r="J712" s="5"/>
      <c r="M712" s="5"/>
      <c r="P712" s="5"/>
      <c r="S712" s="5"/>
      <c r="V712" s="5"/>
    </row>
    <row r="713" ht="15.75" customHeight="1">
      <c r="C713" s="5"/>
      <c r="F713" s="5"/>
      <c r="G713" s="5"/>
      <c r="J713" s="5"/>
      <c r="M713" s="5"/>
      <c r="P713" s="5"/>
      <c r="S713" s="5"/>
      <c r="V713" s="5"/>
    </row>
    <row r="714" ht="15.75" customHeight="1">
      <c r="C714" s="5"/>
      <c r="F714" s="5"/>
      <c r="G714" s="5"/>
      <c r="J714" s="5"/>
      <c r="M714" s="5"/>
      <c r="P714" s="5"/>
      <c r="S714" s="5"/>
      <c r="V714" s="5"/>
    </row>
    <row r="715" ht="15.75" customHeight="1">
      <c r="C715" s="5"/>
      <c r="F715" s="5"/>
      <c r="G715" s="5"/>
      <c r="J715" s="5"/>
      <c r="M715" s="5"/>
      <c r="P715" s="5"/>
      <c r="S715" s="5"/>
      <c r="V715" s="5"/>
    </row>
    <row r="716" ht="15.75" customHeight="1">
      <c r="C716" s="5"/>
      <c r="F716" s="5"/>
      <c r="G716" s="5"/>
      <c r="J716" s="5"/>
      <c r="M716" s="5"/>
      <c r="P716" s="5"/>
      <c r="S716" s="5"/>
      <c r="V716" s="5"/>
    </row>
    <row r="717" ht="15.75" customHeight="1">
      <c r="C717" s="5"/>
      <c r="F717" s="5"/>
      <c r="G717" s="5"/>
      <c r="J717" s="5"/>
      <c r="M717" s="5"/>
      <c r="P717" s="5"/>
      <c r="S717" s="5"/>
      <c r="V717" s="5"/>
    </row>
    <row r="718" ht="15.75" customHeight="1">
      <c r="C718" s="5"/>
      <c r="F718" s="5"/>
      <c r="G718" s="5"/>
      <c r="J718" s="5"/>
      <c r="M718" s="5"/>
      <c r="P718" s="5"/>
      <c r="S718" s="5"/>
      <c r="V718" s="5"/>
    </row>
    <row r="719" ht="15.75" customHeight="1">
      <c r="C719" s="5"/>
      <c r="F719" s="5"/>
      <c r="G719" s="5"/>
      <c r="J719" s="5"/>
      <c r="M719" s="5"/>
      <c r="P719" s="5"/>
      <c r="S719" s="5"/>
      <c r="V719" s="5"/>
    </row>
    <row r="720" ht="15.75" customHeight="1">
      <c r="C720" s="5"/>
      <c r="F720" s="5"/>
      <c r="G720" s="5"/>
      <c r="J720" s="5"/>
      <c r="M720" s="5"/>
      <c r="P720" s="5"/>
      <c r="S720" s="5"/>
      <c r="V720" s="5"/>
    </row>
    <row r="721" ht="15.75" customHeight="1">
      <c r="C721" s="5"/>
      <c r="F721" s="5"/>
      <c r="G721" s="5"/>
      <c r="J721" s="5"/>
      <c r="M721" s="5"/>
      <c r="P721" s="5"/>
      <c r="S721" s="5"/>
      <c r="V721" s="5"/>
    </row>
    <row r="722" ht="15.75" customHeight="1">
      <c r="C722" s="5"/>
      <c r="F722" s="5"/>
      <c r="G722" s="5"/>
      <c r="J722" s="5"/>
      <c r="M722" s="5"/>
      <c r="P722" s="5"/>
      <c r="S722" s="5"/>
      <c r="V722" s="5"/>
    </row>
    <row r="723" ht="15.75" customHeight="1">
      <c r="C723" s="5"/>
      <c r="F723" s="5"/>
      <c r="G723" s="5"/>
      <c r="J723" s="5"/>
      <c r="M723" s="5"/>
      <c r="P723" s="5"/>
      <c r="S723" s="5"/>
      <c r="V723" s="5"/>
    </row>
    <row r="724" ht="15.75" customHeight="1">
      <c r="C724" s="5"/>
      <c r="F724" s="5"/>
      <c r="G724" s="5"/>
      <c r="J724" s="5"/>
      <c r="M724" s="5"/>
      <c r="P724" s="5"/>
      <c r="S724" s="5"/>
      <c r="V724" s="5"/>
    </row>
    <row r="725" ht="15.75" customHeight="1">
      <c r="C725" s="5"/>
      <c r="F725" s="5"/>
      <c r="G725" s="5"/>
      <c r="J725" s="5"/>
      <c r="M725" s="5"/>
      <c r="P725" s="5"/>
      <c r="S725" s="5"/>
      <c r="V725" s="5"/>
    </row>
    <row r="726" ht="15.75" customHeight="1">
      <c r="C726" s="5"/>
      <c r="F726" s="5"/>
      <c r="G726" s="5"/>
      <c r="J726" s="5"/>
      <c r="M726" s="5"/>
      <c r="P726" s="5"/>
      <c r="S726" s="5"/>
      <c r="V726" s="5"/>
    </row>
    <row r="727" ht="15.75" customHeight="1">
      <c r="C727" s="5"/>
      <c r="F727" s="5"/>
      <c r="G727" s="5"/>
      <c r="J727" s="5"/>
      <c r="M727" s="5"/>
      <c r="P727" s="5"/>
      <c r="S727" s="5"/>
      <c r="V727" s="5"/>
    </row>
    <row r="728" ht="15.75" customHeight="1">
      <c r="C728" s="5"/>
      <c r="F728" s="5"/>
      <c r="G728" s="5"/>
      <c r="J728" s="5"/>
      <c r="M728" s="5"/>
      <c r="P728" s="5"/>
      <c r="S728" s="5"/>
      <c r="V728" s="5"/>
    </row>
    <row r="729" ht="15.75" customHeight="1">
      <c r="C729" s="5"/>
      <c r="F729" s="5"/>
      <c r="G729" s="5"/>
      <c r="J729" s="5"/>
      <c r="M729" s="5"/>
      <c r="P729" s="5"/>
      <c r="S729" s="5"/>
      <c r="V729" s="5"/>
    </row>
    <row r="730" ht="15.75" customHeight="1">
      <c r="C730" s="5"/>
      <c r="F730" s="5"/>
      <c r="G730" s="5"/>
      <c r="J730" s="5"/>
      <c r="M730" s="5"/>
      <c r="P730" s="5"/>
      <c r="S730" s="5"/>
      <c r="V730" s="5"/>
    </row>
    <row r="731" ht="15.75" customHeight="1">
      <c r="C731" s="5"/>
      <c r="F731" s="5"/>
      <c r="G731" s="5"/>
      <c r="J731" s="5"/>
      <c r="M731" s="5"/>
      <c r="P731" s="5"/>
      <c r="S731" s="5"/>
      <c r="V731" s="5"/>
    </row>
    <row r="732" ht="15.75" customHeight="1">
      <c r="C732" s="5"/>
      <c r="F732" s="5"/>
      <c r="G732" s="5"/>
      <c r="J732" s="5"/>
      <c r="M732" s="5"/>
      <c r="P732" s="5"/>
      <c r="S732" s="5"/>
      <c r="V732" s="5"/>
    </row>
    <row r="733" ht="15.75" customHeight="1">
      <c r="C733" s="5"/>
      <c r="F733" s="5"/>
      <c r="G733" s="5"/>
      <c r="J733" s="5"/>
      <c r="M733" s="5"/>
      <c r="P733" s="5"/>
      <c r="S733" s="5"/>
      <c r="V733" s="5"/>
    </row>
    <row r="734" ht="15.75" customHeight="1">
      <c r="C734" s="5"/>
      <c r="F734" s="5"/>
      <c r="G734" s="5"/>
      <c r="J734" s="5"/>
      <c r="M734" s="5"/>
      <c r="P734" s="5"/>
      <c r="S734" s="5"/>
      <c r="V734" s="5"/>
    </row>
    <row r="735" ht="15.75" customHeight="1">
      <c r="C735" s="5"/>
      <c r="F735" s="5"/>
      <c r="G735" s="5"/>
      <c r="J735" s="5"/>
      <c r="M735" s="5"/>
      <c r="P735" s="5"/>
      <c r="S735" s="5"/>
      <c r="V735" s="5"/>
    </row>
    <row r="736" ht="15.75" customHeight="1">
      <c r="C736" s="5"/>
      <c r="F736" s="5"/>
      <c r="G736" s="5"/>
      <c r="J736" s="5"/>
      <c r="M736" s="5"/>
      <c r="P736" s="5"/>
      <c r="S736" s="5"/>
      <c r="V736" s="5"/>
    </row>
    <row r="737" ht="15.75" customHeight="1">
      <c r="C737" s="5"/>
      <c r="F737" s="5"/>
      <c r="G737" s="5"/>
      <c r="J737" s="5"/>
      <c r="M737" s="5"/>
      <c r="P737" s="5"/>
      <c r="S737" s="5"/>
      <c r="V737" s="5"/>
    </row>
    <row r="738" ht="15.75" customHeight="1">
      <c r="C738" s="5"/>
      <c r="F738" s="5"/>
      <c r="G738" s="5"/>
      <c r="J738" s="5"/>
      <c r="M738" s="5"/>
      <c r="P738" s="5"/>
      <c r="S738" s="5"/>
      <c r="V738" s="5"/>
    </row>
    <row r="739" ht="15.75" customHeight="1">
      <c r="C739" s="5"/>
      <c r="F739" s="5"/>
      <c r="G739" s="5"/>
      <c r="J739" s="5"/>
      <c r="M739" s="5"/>
      <c r="P739" s="5"/>
      <c r="S739" s="5"/>
      <c r="V739" s="5"/>
    </row>
    <row r="740" ht="15.75" customHeight="1">
      <c r="C740" s="5"/>
      <c r="F740" s="5"/>
      <c r="G740" s="5"/>
      <c r="J740" s="5"/>
      <c r="M740" s="5"/>
      <c r="P740" s="5"/>
      <c r="S740" s="5"/>
      <c r="V740" s="5"/>
    </row>
    <row r="741" ht="15.75" customHeight="1">
      <c r="C741" s="5"/>
      <c r="F741" s="5"/>
      <c r="G741" s="5"/>
      <c r="J741" s="5"/>
      <c r="M741" s="5"/>
      <c r="P741" s="5"/>
      <c r="S741" s="5"/>
      <c r="V741" s="5"/>
    </row>
    <row r="742" ht="15.75" customHeight="1">
      <c r="C742" s="5"/>
      <c r="F742" s="5"/>
      <c r="G742" s="5"/>
      <c r="J742" s="5"/>
      <c r="M742" s="5"/>
      <c r="P742" s="5"/>
      <c r="S742" s="5"/>
      <c r="V742" s="5"/>
    </row>
    <row r="743" ht="15.75" customHeight="1">
      <c r="C743" s="5"/>
      <c r="F743" s="5"/>
      <c r="G743" s="5"/>
      <c r="J743" s="5"/>
      <c r="M743" s="5"/>
      <c r="P743" s="5"/>
      <c r="S743" s="5"/>
      <c r="V743" s="5"/>
    </row>
    <row r="744" ht="15.75" customHeight="1">
      <c r="C744" s="5"/>
      <c r="F744" s="5"/>
      <c r="G744" s="5"/>
      <c r="J744" s="5"/>
      <c r="M744" s="5"/>
      <c r="P744" s="5"/>
      <c r="S744" s="5"/>
      <c r="V744" s="5"/>
    </row>
    <row r="745" ht="15.75" customHeight="1">
      <c r="C745" s="5"/>
      <c r="F745" s="5"/>
      <c r="G745" s="5"/>
      <c r="J745" s="5"/>
      <c r="M745" s="5"/>
      <c r="P745" s="5"/>
      <c r="S745" s="5"/>
      <c r="V745" s="5"/>
    </row>
    <row r="746" ht="15.75" customHeight="1">
      <c r="C746" s="5"/>
      <c r="F746" s="5"/>
      <c r="G746" s="5"/>
      <c r="J746" s="5"/>
      <c r="M746" s="5"/>
      <c r="P746" s="5"/>
      <c r="S746" s="5"/>
      <c r="V746" s="5"/>
    </row>
    <row r="747" ht="15.75" customHeight="1">
      <c r="C747" s="5"/>
      <c r="F747" s="5"/>
      <c r="G747" s="5"/>
      <c r="J747" s="5"/>
      <c r="M747" s="5"/>
      <c r="P747" s="5"/>
      <c r="S747" s="5"/>
      <c r="V747" s="5"/>
    </row>
    <row r="748" ht="15.75" customHeight="1">
      <c r="C748" s="5"/>
      <c r="F748" s="5"/>
      <c r="G748" s="5"/>
      <c r="J748" s="5"/>
      <c r="M748" s="5"/>
      <c r="P748" s="5"/>
      <c r="S748" s="5"/>
      <c r="V748" s="5"/>
    </row>
    <row r="749" ht="15.75" customHeight="1">
      <c r="C749" s="5"/>
      <c r="F749" s="5"/>
      <c r="G749" s="5"/>
      <c r="J749" s="5"/>
      <c r="M749" s="5"/>
      <c r="P749" s="5"/>
      <c r="S749" s="5"/>
      <c r="V749" s="5"/>
    </row>
    <row r="750" ht="15.75" customHeight="1">
      <c r="C750" s="5"/>
      <c r="F750" s="5"/>
      <c r="G750" s="5"/>
      <c r="J750" s="5"/>
      <c r="M750" s="5"/>
      <c r="P750" s="5"/>
      <c r="S750" s="5"/>
      <c r="V750" s="5"/>
    </row>
    <row r="751" ht="15.75" customHeight="1">
      <c r="C751" s="5"/>
      <c r="F751" s="5"/>
      <c r="G751" s="5"/>
      <c r="J751" s="5"/>
      <c r="M751" s="5"/>
      <c r="P751" s="5"/>
      <c r="S751" s="5"/>
      <c r="V751" s="5"/>
    </row>
    <row r="752" ht="15.75" customHeight="1">
      <c r="C752" s="5"/>
      <c r="F752" s="5"/>
      <c r="G752" s="5"/>
      <c r="J752" s="5"/>
      <c r="M752" s="5"/>
      <c r="P752" s="5"/>
      <c r="S752" s="5"/>
      <c r="V752" s="5"/>
    </row>
    <row r="753" ht="15.75" customHeight="1">
      <c r="C753" s="5"/>
      <c r="F753" s="5"/>
      <c r="G753" s="5"/>
      <c r="J753" s="5"/>
      <c r="M753" s="5"/>
      <c r="P753" s="5"/>
      <c r="S753" s="5"/>
      <c r="V753" s="5"/>
    </row>
    <row r="754" ht="15.75" customHeight="1">
      <c r="C754" s="5"/>
      <c r="F754" s="5"/>
      <c r="G754" s="5"/>
      <c r="J754" s="5"/>
      <c r="M754" s="5"/>
      <c r="P754" s="5"/>
      <c r="S754" s="5"/>
      <c r="V754" s="5"/>
    </row>
    <row r="755" ht="15.75" customHeight="1">
      <c r="C755" s="5"/>
      <c r="F755" s="5"/>
      <c r="G755" s="5"/>
      <c r="J755" s="5"/>
      <c r="M755" s="5"/>
      <c r="P755" s="5"/>
      <c r="S755" s="5"/>
      <c r="V755" s="5"/>
    </row>
    <row r="756" ht="15.75" customHeight="1">
      <c r="C756" s="5"/>
      <c r="F756" s="5"/>
      <c r="G756" s="5"/>
      <c r="J756" s="5"/>
      <c r="M756" s="5"/>
      <c r="P756" s="5"/>
      <c r="S756" s="5"/>
      <c r="V756" s="5"/>
    </row>
    <row r="757" ht="15.75" customHeight="1">
      <c r="C757" s="5"/>
      <c r="F757" s="5"/>
      <c r="G757" s="5"/>
      <c r="J757" s="5"/>
      <c r="M757" s="5"/>
      <c r="P757" s="5"/>
      <c r="S757" s="5"/>
      <c r="V757" s="5"/>
    </row>
    <row r="758" ht="15.75" customHeight="1">
      <c r="C758" s="5"/>
      <c r="F758" s="5"/>
      <c r="G758" s="5"/>
      <c r="J758" s="5"/>
      <c r="M758" s="5"/>
      <c r="P758" s="5"/>
      <c r="S758" s="5"/>
      <c r="V758" s="5"/>
    </row>
    <row r="759" ht="15.75" customHeight="1">
      <c r="C759" s="5"/>
      <c r="F759" s="5"/>
      <c r="G759" s="5"/>
      <c r="J759" s="5"/>
      <c r="M759" s="5"/>
      <c r="P759" s="5"/>
      <c r="S759" s="5"/>
      <c r="V759" s="5"/>
    </row>
    <row r="760" ht="15.75" customHeight="1">
      <c r="C760" s="5"/>
      <c r="F760" s="5"/>
      <c r="G760" s="5"/>
      <c r="J760" s="5"/>
      <c r="M760" s="5"/>
      <c r="P760" s="5"/>
      <c r="S760" s="5"/>
      <c r="V760" s="5"/>
    </row>
    <row r="761" ht="15.75" customHeight="1">
      <c r="C761" s="5"/>
      <c r="F761" s="5"/>
      <c r="G761" s="5"/>
      <c r="J761" s="5"/>
      <c r="M761" s="5"/>
      <c r="P761" s="5"/>
      <c r="S761" s="5"/>
      <c r="V761" s="5"/>
    </row>
    <row r="762" ht="15.75" customHeight="1">
      <c r="C762" s="5"/>
      <c r="F762" s="5"/>
      <c r="G762" s="5"/>
      <c r="J762" s="5"/>
      <c r="M762" s="5"/>
      <c r="P762" s="5"/>
      <c r="S762" s="5"/>
      <c r="V762" s="5"/>
    </row>
    <row r="763" ht="15.75" customHeight="1">
      <c r="C763" s="5"/>
      <c r="F763" s="5"/>
      <c r="G763" s="5"/>
      <c r="J763" s="5"/>
      <c r="M763" s="5"/>
      <c r="P763" s="5"/>
      <c r="S763" s="5"/>
      <c r="V763" s="5"/>
    </row>
    <row r="764" ht="15.75" customHeight="1">
      <c r="C764" s="5"/>
      <c r="F764" s="5"/>
      <c r="G764" s="5"/>
      <c r="J764" s="5"/>
      <c r="M764" s="5"/>
      <c r="P764" s="5"/>
      <c r="S764" s="5"/>
      <c r="V764" s="5"/>
    </row>
    <row r="765" ht="15.75" customHeight="1">
      <c r="C765" s="5"/>
      <c r="F765" s="5"/>
      <c r="G765" s="5"/>
      <c r="J765" s="5"/>
      <c r="M765" s="5"/>
      <c r="P765" s="5"/>
      <c r="S765" s="5"/>
      <c r="V765" s="5"/>
    </row>
    <row r="766" ht="15.75" customHeight="1">
      <c r="C766" s="5"/>
      <c r="F766" s="5"/>
      <c r="G766" s="5"/>
      <c r="J766" s="5"/>
      <c r="M766" s="5"/>
      <c r="P766" s="5"/>
      <c r="S766" s="5"/>
      <c r="V766" s="5"/>
    </row>
    <row r="767" ht="15.75" customHeight="1">
      <c r="C767" s="5"/>
      <c r="F767" s="5"/>
      <c r="G767" s="5"/>
      <c r="J767" s="5"/>
      <c r="M767" s="5"/>
      <c r="P767" s="5"/>
      <c r="S767" s="5"/>
      <c r="V767" s="5"/>
    </row>
    <row r="768" ht="15.75" customHeight="1">
      <c r="C768" s="5"/>
      <c r="F768" s="5"/>
      <c r="G768" s="5"/>
      <c r="J768" s="5"/>
      <c r="M768" s="5"/>
      <c r="P768" s="5"/>
      <c r="S768" s="5"/>
      <c r="V768" s="5"/>
    </row>
    <row r="769" ht="15.75" customHeight="1">
      <c r="C769" s="5"/>
      <c r="F769" s="5"/>
      <c r="G769" s="5"/>
      <c r="J769" s="5"/>
      <c r="M769" s="5"/>
      <c r="P769" s="5"/>
      <c r="S769" s="5"/>
      <c r="V769" s="5"/>
    </row>
    <row r="770" ht="15.75" customHeight="1">
      <c r="C770" s="5"/>
      <c r="F770" s="5"/>
      <c r="G770" s="5"/>
      <c r="J770" s="5"/>
      <c r="M770" s="5"/>
      <c r="P770" s="5"/>
      <c r="S770" s="5"/>
      <c r="V770" s="5"/>
    </row>
    <row r="771" ht="15.75" customHeight="1">
      <c r="C771" s="5"/>
      <c r="F771" s="5"/>
      <c r="G771" s="5"/>
      <c r="J771" s="5"/>
      <c r="M771" s="5"/>
      <c r="P771" s="5"/>
      <c r="S771" s="5"/>
      <c r="V771" s="5"/>
    </row>
    <row r="772" ht="15.75" customHeight="1">
      <c r="C772" s="5"/>
      <c r="F772" s="5"/>
      <c r="G772" s="5"/>
      <c r="J772" s="5"/>
      <c r="M772" s="5"/>
      <c r="P772" s="5"/>
      <c r="S772" s="5"/>
      <c r="V772" s="5"/>
    </row>
    <row r="773" ht="15.75" customHeight="1">
      <c r="C773" s="5"/>
      <c r="F773" s="5"/>
      <c r="G773" s="5"/>
      <c r="J773" s="5"/>
      <c r="M773" s="5"/>
      <c r="P773" s="5"/>
      <c r="S773" s="5"/>
      <c r="V773" s="5"/>
    </row>
    <row r="774" ht="15.75" customHeight="1">
      <c r="C774" s="5"/>
      <c r="F774" s="5"/>
      <c r="G774" s="5"/>
      <c r="J774" s="5"/>
      <c r="M774" s="5"/>
      <c r="P774" s="5"/>
      <c r="S774" s="5"/>
      <c r="V774" s="5"/>
    </row>
    <row r="775" ht="15.75" customHeight="1">
      <c r="C775" s="5"/>
      <c r="F775" s="5"/>
      <c r="G775" s="5"/>
      <c r="J775" s="5"/>
      <c r="M775" s="5"/>
      <c r="P775" s="5"/>
      <c r="S775" s="5"/>
      <c r="V775" s="5"/>
    </row>
    <row r="776" ht="15.75" customHeight="1">
      <c r="C776" s="5"/>
      <c r="F776" s="5"/>
      <c r="G776" s="5"/>
      <c r="J776" s="5"/>
      <c r="M776" s="5"/>
      <c r="P776" s="5"/>
      <c r="S776" s="5"/>
      <c r="V776" s="5"/>
    </row>
    <row r="777" ht="15.75" customHeight="1">
      <c r="C777" s="5"/>
      <c r="F777" s="5"/>
      <c r="G777" s="5"/>
      <c r="J777" s="5"/>
      <c r="M777" s="5"/>
      <c r="P777" s="5"/>
      <c r="S777" s="5"/>
      <c r="V777" s="5"/>
    </row>
    <row r="778" ht="15.75" customHeight="1">
      <c r="C778" s="5"/>
      <c r="F778" s="5"/>
      <c r="G778" s="5"/>
      <c r="J778" s="5"/>
      <c r="M778" s="5"/>
      <c r="P778" s="5"/>
      <c r="S778" s="5"/>
      <c r="V778" s="5"/>
    </row>
    <row r="779" ht="15.75" customHeight="1">
      <c r="C779" s="5"/>
      <c r="F779" s="5"/>
      <c r="G779" s="5"/>
      <c r="J779" s="5"/>
      <c r="M779" s="5"/>
      <c r="P779" s="5"/>
      <c r="S779" s="5"/>
      <c r="V779" s="5"/>
    </row>
    <row r="780" ht="15.75" customHeight="1">
      <c r="C780" s="5"/>
      <c r="F780" s="5"/>
      <c r="G780" s="5"/>
      <c r="J780" s="5"/>
      <c r="M780" s="5"/>
      <c r="P780" s="5"/>
      <c r="S780" s="5"/>
      <c r="V780" s="5"/>
    </row>
    <row r="781" ht="15.75" customHeight="1">
      <c r="C781" s="5"/>
      <c r="F781" s="5"/>
      <c r="G781" s="5"/>
      <c r="J781" s="5"/>
      <c r="M781" s="5"/>
      <c r="P781" s="5"/>
      <c r="S781" s="5"/>
      <c r="V781" s="5"/>
    </row>
    <row r="782" ht="15.75" customHeight="1">
      <c r="C782" s="5"/>
      <c r="F782" s="5"/>
      <c r="G782" s="5"/>
      <c r="J782" s="5"/>
      <c r="M782" s="5"/>
      <c r="P782" s="5"/>
      <c r="S782" s="5"/>
      <c r="V782" s="5"/>
    </row>
    <row r="783" ht="15.75" customHeight="1">
      <c r="C783" s="5"/>
      <c r="F783" s="5"/>
      <c r="G783" s="5"/>
      <c r="J783" s="5"/>
      <c r="M783" s="5"/>
      <c r="P783" s="5"/>
      <c r="S783" s="5"/>
      <c r="V783" s="5"/>
    </row>
    <row r="784" ht="15.75" customHeight="1">
      <c r="C784" s="5"/>
      <c r="F784" s="5"/>
      <c r="G784" s="5"/>
      <c r="J784" s="5"/>
      <c r="M784" s="5"/>
      <c r="P784" s="5"/>
      <c r="S784" s="5"/>
      <c r="V784" s="5"/>
    </row>
    <row r="785" ht="15.75" customHeight="1">
      <c r="C785" s="5"/>
      <c r="F785" s="5"/>
      <c r="G785" s="5"/>
      <c r="J785" s="5"/>
      <c r="M785" s="5"/>
      <c r="P785" s="5"/>
      <c r="S785" s="5"/>
      <c r="V785" s="5"/>
    </row>
    <row r="786" ht="15.75" customHeight="1">
      <c r="C786" s="5"/>
      <c r="F786" s="5"/>
      <c r="G786" s="5"/>
      <c r="J786" s="5"/>
      <c r="M786" s="5"/>
      <c r="P786" s="5"/>
      <c r="S786" s="5"/>
      <c r="V786" s="5"/>
    </row>
    <row r="787" ht="15.75" customHeight="1">
      <c r="C787" s="5"/>
      <c r="F787" s="5"/>
      <c r="G787" s="5"/>
      <c r="J787" s="5"/>
      <c r="M787" s="5"/>
      <c r="P787" s="5"/>
      <c r="S787" s="5"/>
      <c r="V787" s="5"/>
    </row>
    <row r="788" ht="15.75" customHeight="1">
      <c r="C788" s="5"/>
      <c r="F788" s="5"/>
      <c r="G788" s="5"/>
      <c r="J788" s="5"/>
      <c r="M788" s="5"/>
      <c r="P788" s="5"/>
      <c r="S788" s="5"/>
      <c r="V788" s="5"/>
    </row>
    <row r="789" ht="15.75" customHeight="1">
      <c r="C789" s="5"/>
      <c r="F789" s="5"/>
      <c r="G789" s="5"/>
      <c r="J789" s="5"/>
      <c r="M789" s="5"/>
      <c r="P789" s="5"/>
      <c r="S789" s="5"/>
      <c r="V789" s="5"/>
    </row>
    <row r="790" ht="15.75" customHeight="1">
      <c r="C790" s="5"/>
      <c r="F790" s="5"/>
      <c r="G790" s="5"/>
      <c r="J790" s="5"/>
      <c r="M790" s="5"/>
      <c r="P790" s="5"/>
      <c r="S790" s="5"/>
      <c r="V790" s="5"/>
    </row>
    <row r="791" ht="15.75" customHeight="1">
      <c r="C791" s="5"/>
      <c r="F791" s="5"/>
      <c r="G791" s="5"/>
      <c r="J791" s="5"/>
      <c r="M791" s="5"/>
      <c r="P791" s="5"/>
      <c r="S791" s="5"/>
      <c r="V791" s="5"/>
    </row>
    <row r="792" ht="15.75" customHeight="1">
      <c r="C792" s="5"/>
      <c r="F792" s="5"/>
      <c r="G792" s="5"/>
      <c r="J792" s="5"/>
      <c r="M792" s="5"/>
      <c r="P792" s="5"/>
      <c r="S792" s="5"/>
      <c r="V792" s="5"/>
    </row>
    <row r="793" ht="15.75" customHeight="1">
      <c r="C793" s="5"/>
      <c r="F793" s="5"/>
      <c r="G793" s="5"/>
      <c r="J793" s="5"/>
      <c r="M793" s="5"/>
      <c r="P793" s="5"/>
      <c r="S793" s="5"/>
      <c r="V793" s="5"/>
    </row>
    <row r="794" ht="15.75" customHeight="1">
      <c r="C794" s="5"/>
      <c r="F794" s="5"/>
      <c r="G794" s="5"/>
      <c r="J794" s="5"/>
      <c r="M794" s="5"/>
      <c r="P794" s="5"/>
      <c r="S794" s="5"/>
      <c r="V794" s="5"/>
    </row>
    <row r="795" ht="15.75" customHeight="1">
      <c r="C795" s="5"/>
      <c r="F795" s="5"/>
      <c r="G795" s="5"/>
      <c r="J795" s="5"/>
      <c r="M795" s="5"/>
      <c r="P795" s="5"/>
      <c r="S795" s="5"/>
      <c r="V795" s="5"/>
    </row>
    <row r="796" ht="15.75" customHeight="1">
      <c r="C796" s="5"/>
      <c r="F796" s="5"/>
      <c r="G796" s="5"/>
      <c r="J796" s="5"/>
      <c r="M796" s="5"/>
      <c r="P796" s="5"/>
      <c r="S796" s="5"/>
      <c r="V796" s="5"/>
    </row>
    <row r="797" ht="15.75" customHeight="1">
      <c r="C797" s="5"/>
      <c r="F797" s="5"/>
      <c r="G797" s="5"/>
      <c r="J797" s="5"/>
      <c r="M797" s="5"/>
      <c r="P797" s="5"/>
      <c r="S797" s="5"/>
      <c r="V797" s="5"/>
    </row>
    <row r="798" ht="15.75" customHeight="1">
      <c r="C798" s="5"/>
      <c r="F798" s="5"/>
      <c r="G798" s="5"/>
      <c r="J798" s="5"/>
      <c r="M798" s="5"/>
      <c r="P798" s="5"/>
      <c r="S798" s="5"/>
      <c r="V798" s="5"/>
    </row>
    <row r="799" ht="15.75" customHeight="1">
      <c r="C799" s="5"/>
      <c r="F799" s="5"/>
      <c r="G799" s="5"/>
      <c r="J799" s="5"/>
      <c r="M799" s="5"/>
      <c r="P799" s="5"/>
      <c r="S799" s="5"/>
      <c r="V799" s="5"/>
    </row>
    <row r="800" ht="15.75" customHeight="1">
      <c r="C800" s="5"/>
      <c r="F800" s="5"/>
      <c r="G800" s="5"/>
      <c r="J800" s="5"/>
      <c r="M800" s="5"/>
      <c r="P800" s="5"/>
      <c r="S800" s="5"/>
      <c r="V800" s="5"/>
    </row>
    <row r="801" ht="15.75" customHeight="1">
      <c r="C801" s="5"/>
      <c r="F801" s="5"/>
      <c r="G801" s="5"/>
      <c r="J801" s="5"/>
      <c r="M801" s="5"/>
      <c r="P801" s="5"/>
      <c r="S801" s="5"/>
      <c r="V801" s="5"/>
    </row>
    <row r="802" ht="15.75" customHeight="1">
      <c r="C802" s="5"/>
      <c r="F802" s="5"/>
      <c r="G802" s="5"/>
      <c r="J802" s="5"/>
      <c r="M802" s="5"/>
      <c r="P802" s="5"/>
      <c r="S802" s="5"/>
      <c r="V802" s="5"/>
    </row>
    <row r="803" ht="15.75" customHeight="1">
      <c r="C803" s="5"/>
      <c r="F803" s="5"/>
      <c r="G803" s="5"/>
      <c r="J803" s="5"/>
      <c r="M803" s="5"/>
      <c r="P803" s="5"/>
      <c r="S803" s="5"/>
      <c r="V803" s="5"/>
    </row>
    <row r="804" ht="15.75" customHeight="1">
      <c r="C804" s="5"/>
      <c r="F804" s="5"/>
      <c r="G804" s="5"/>
      <c r="J804" s="5"/>
      <c r="M804" s="5"/>
      <c r="P804" s="5"/>
      <c r="S804" s="5"/>
      <c r="V804" s="5"/>
    </row>
    <row r="805" ht="15.75" customHeight="1">
      <c r="C805" s="5"/>
      <c r="F805" s="5"/>
      <c r="G805" s="5"/>
      <c r="J805" s="5"/>
      <c r="M805" s="5"/>
      <c r="P805" s="5"/>
      <c r="S805" s="5"/>
      <c r="V805" s="5"/>
    </row>
    <row r="806" ht="15.75" customHeight="1">
      <c r="C806" s="5"/>
      <c r="F806" s="5"/>
      <c r="G806" s="5"/>
      <c r="J806" s="5"/>
      <c r="M806" s="5"/>
      <c r="P806" s="5"/>
      <c r="S806" s="5"/>
      <c r="V806" s="5"/>
    </row>
    <row r="807" ht="15.75" customHeight="1">
      <c r="C807" s="5"/>
      <c r="F807" s="5"/>
      <c r="G807" s="5"/>
      <c r="J807" s="5"/>
      <c r="M807" s="5"/>
      <c r="P807" s="5"/>
      <c r="S807" s="5"/>
      <c r="V807" s="5"/>
    </row>
    <row r="808" ht="15.75" customHeight="1">
      <c r="C808" s="5"/>
      <c r="F808" s="5"/>
      <c r="G808" s="5"/>
      <c r="J808" s="5"/>
      <c r="M808" s="5"/>
      <c r="P808" s="5"/>
      <c r="S808" s="5"/>
      <c r="V808" s="5"/>
    </row>
    <row r="809" ht="15.75" customHeight="1">
      <c r="C809" s="5"/>
      <c r="F809" s="5"/>
      <c r="G809" s="5"/>
      <c r="J809" s="5"/>
      <c r="M809" s="5"/>
      <c r="P809" s="5"/>
      <c r="S809" s="5"/>
      <c r="V809" s="5"/>
    </row>
    <row r="810" ht="15.75" customHeight="1">
      <c r="C810" s="5"/>
      <c r="F810" s="5"/>
      <c r="G810" s="5"/>
      <c r="J810" s="5"/>
      <c r="M810" s="5"/>
      <c r="P810" s="5"/>
      <c r="S810" s="5"/>
      <c r="V810" s="5"/>
    </row>
    <row r="811" ht="15.75" customHeight="1">
      <c r="C811" s="5"/>
      <c r="F811" s="5"/>
      <c r="G811" s="5"/>
      <c r="J811" s="5"/>
      <c r="M811" s="5"/>
      <c r="P811" s="5"/>
      <c r="S811" s="5"/>
      <c r="V811" s="5"/>
    </row>
    <row r="812" ht="15.75" customHeight="1">
      <c r="C812" s="5"/>
      <c r="F812" s="5"/>
      <c r="G812" s="5"/>
      <c r="J812" s="5"/>
      <c r="M812" s="5"/>
      <c r="P812" s="5"/>
      <c r="S812" s="5"/>
      <c r="V812" s="5"/>
    </row>
    <row r="813" ht="15.75" customHeight="1">
      <c r="C813" s="5"/>
      <c r="F813" s="5"/>
      <c r="G813" s="5"/>
      <c r="J813" s="5"/>
      <c r="M813" s="5"/>
      <c r="P813" s="5"/>
      <c r="S813" s="5"/>
      <c r="V813" s="5"/>
    </row>
    <row r="814" ht="15.75" customHeight="1">
      <c r="C814" s="5"/>
      <c r="F814" s="5"/>
      <c r="G814" s="5"/>
      <c r="J814" s="5"/>
      <c r="M814" s="5"/>
      <c r="P814" s="5"/>
      <c r="S814" s="5"/>
      <c r="V814" s="5"/>
    </row>
    <row r="815" ht="15.75" customHeight="1">
      <c r="C815" s="5"/>
      <c r="F815" s="5"/>
      <c r="G815" s="5"/>
      <c r="J815" s="5"/>
      <c r="M815" s="5"/>
      <c r="P815" s="5"/>
      <c r="S815" s="5"/>
      <c r="V815" s="5"/>
    </row>
    <row r="816" ht="15.75" customHeight="1">
      <c r="C816" s="5"/>
      <c r="F816" s="5"/>
      <c r="G816" s="5"/>
      <c r="J816" s="5"/>
      <c r="M816" s="5"/>
      <c r="P816" s="5"/>
      <c r="S816" s="5"/>
      <c r="V816" s="5"/>
    </row>
    <row r="817" ht="15.75" customHeight="1">
      <c r="C817" s="5"/>
      <c r="F817" s="5"/>
      <c r="G817" s="5"/>
      <c r="J817" s="5"/>
      <c r="M817" s="5"/>
      <c r="P817" s="5"/>
      <c r="S817" s="5"/>
      <c r="V817" s="5"/>
    </row>
    <row r="818" ht="15.75" customHeight="1">
      <c r="C818" s="5"/>
      <c r="F818" s="5"/>
      <c r="G818" s="5"/>
      <c r="J818" s="5"/>
      <c r="M818" s="5"/>
      <c r="P818" s="5"/>
      <c r="S818" s="5"/>
      <c r="V818" s="5"/>
    </row>
    <row r="819" ht="15.75" customHeight="1">
      <c r="C819" s="5"/>
      <c r="F819" s="5"/>
      <c r="G819" s="5"/>
      <c r="J819" s="5"/>
      <c r="M819" s="5"/>
      <c r="P819" s="5"/>
      <c r="S819" s="5"/>
      <c r="V819" s="5"/>
    </row>
    <row r="820" ht="15.75" customHeight="1">
      <c r="C820" s="5"/>
      <c r="F820" s="5"/>
      <c r="G820" s="5"/>
      <c r="J820" s="5"/>
      <c r="M820" s="5"/>
      <c r="P820" s="5"/>
      <c r="S820" s="5"/>
      <c r="V820" s="5"/>
    </row>
    <row r="821" ht="15.75" customHeight="1">
      <c r="C821" s="5"/>
      <c r="F821" s="5"/>
      <c r="G821" s="5"/>
      <c r="J821" s="5"/>
      <c r="M821" s="5"/>
      <c r="P821" s="5"/>
      <c r="S821" s="5"/>
      <c r="V821" s="5"/>
    </row>
    <row r="822" ht="15.75" customHeight="1">
      <c r="C822" s="5"/>
      <c r="F822" s="5"/>
      <c r="G822" s="5"/>
      <c r="J822" s="5"/>
      <c r="M822" s="5"/>
      <c r="P822" s="5"/>
      <c r="S822" s="5"/>
      <c r="V822" s="5"/>
    </row>
    <row r="823" ht="15.75" customHeight="1">
      <c r="C823" s="5"/>
      <c r="F823" s="5"/>
      <c r="G823" s="5"/>
      <c r="J823" s="5"/>
      <c r="M823" s="5"/>
      <c r="P823" s="5"/>
      <c r="S823" s="5"/>
      <c r="V823" s="5"/>
    </row>
    <row r="824" ht="15.75" customHeight="1">
      <c r="C824" s="5"/>
      <c r="F824" s="5"/>
      <c r="G824" s="5"/>
      <c r="J824" s="5"/>
      <c r="M824" s="5"/>
      <c r="P824" s="5"/>
      <c r="S824" s="5"/>
      <c r="V824" s="5"/>
    </row>
    <row r="825" ht="15.75" customHeight="1">
      <c r="C825" s="5"/>
      <c r="F825" s="5"/>
      <c r="G825" s="5"/>
      <c r="J825" s="5"/>
      <c r="M825" s="5"/>
      <c r="P825" s="5"/>
      <c r="S825" s="5"/>
      <c r="V825" s="5"/>
    </row>
    <row r="826" ht="15.75" customHeight="1">
      <c r="C826" s="5"/>
      <c r="F826" s="5"/>
      <c r="G826" s="5"/>
      <c r="J826" s="5"/>
      <c r="M826" s="5"/>
      <c r="P826" s="5"/>
      <c r="S826" s="5"/>
      <c r="V826" s="5"/>
    </row>
    <row r="827" ht="15.75" customHeight="1">
      <c r="C827" s="5"/>
      <c r="F827" s="5"/>
      <c r="G827" s="5"/>
      <c r="J827" s="5"/>
      <c r="M827" s="5"/>
      <c r="P827" s="5"/>
      <c r="S827" s="5"/>
      <c r="V827" s="5"/>
    </row>
    <row r="828" ht="15.75" customHeight="1">
      <c r="C828" s="5"/>
      <c r="F828" s="5"/>
      <c r="G828" s="5"/>
      <c r="J828" s="5"/>
      <c r="M828" s="5"/>
      <c r="P828" s="5"/>
      <c r="S828" s="5"/>
      <c r="V828" s="5"/>
    </row>
    <row r="829" ht="15.75" customHeight="1">
      <c r="C829" s="5"/>
      <c r="F829" s="5"/>
      <c r="G829" s="5"/>
      <c r="J829" s="5"/>
      <c r="M829" s="5"/>
      <c r="P829" s="5"/>
      <c r="S829" s="5"/>
      <c r="V829" s="5"/>
    </row>
    <row r="830" ht="15.75" customHeight="1">
      <c r="C830" s="5"/>
      <c r="F830" s="5"/>
      <c r="G830" s="5"/>
      <c r="J830" s="5"/>
      <c r="M830" s="5"/>
      <c r="P830" s="5"/>
      <c r="S830" s="5"/>
      <c r="V830" s="5"/>
    </row>
    <row r="831" ht="15.75" customHeight="1">
      <c r="C831" s="5"/>
      <c r="F831" s="5"/>
      <c r="G831" s="5"/>
      <c r="J831" s="5"/>
      <c r="M831" s="5"/>
      <c r="P831" s="5"/>
      <c r="S831" s="5"/>
      <c r="V831" s="5"/>
    </row>
    <row r="832" ht="15.75" customHeight="1">
      <c r="C832" s="5"/>
      <c r="F832" s="5"/>
      <c r="G832" s="5"/>
      <c r="J832" s="5"/>
      <c r="M832" s="5"/>
      <c r="P832" s="5"/>
      <c r="S832" s="5"/>
      <c r="V832" s="5"/>
    </row>
    <row r="833" ht="15.75" customHeight="1">
      <c r="C833" s="5"/>
      <c r="F833" s="5"/>
      <c r="G833" s="5"/>
      <c r="J833" s="5"/>
      <c r="M833" s="5"/>
      <c r="P833" s="5"/>
      <c r="S833" s="5"/>
      <c r="V833" s="5"/>
    </row>
    <row r="834" ht="15.75" customHeight="1">
      <c r="C834" s="5"/>
      <c r="F834" s="5"/>
      <c r="G834" s="5"/>
      <c r="J834" s="5"/>
      <c r="M834" s="5"/>
      <c r="P834" s="5"/>
      <c r="S834" s="5"/>
      <c r="V834" s="5"/>
    </row>
    <row r="835" ht="15.75" customHeight="1">
      <c r="C835" s="5"/>
      <c r="F835" s="5"/>
      <c r="G835" s="5"/>
      <c r="J835" s="5"/>
      <c r="M835" s="5"/>
      <c r="P835" s="5"/>
      <c r="S835" s="5"/>
      <c r="V835" s="5"/>
    </row>
    <row r="836" ht="15.75" customHeight="1">
      <c r="C836" s="5"/>
      <c r="F836" s="5"/>
      <c r="G836" s="5"/>
      <c r="J836" s="5"/>
      <c r="M836" s="5"/>
      <c r="P836" s="5"/>
      <c r="S836" s="5"/>
      <c r="V836" s="5"/>
    </row>
    <row r="837" ht="15.75" customHeight="1">
      <c r="C837" s="5"/>
      <c r="F837" s="5"/>
      <c r="G837" s="5"/>
      <c r="J837" s="5"/>
      <c r="M837" s="5"/>
      <c r="P837" s="5"/>
      <c r="S837" s="5"/>
      <c r="V837" s="5"/>
    </row>
    <row r="838" ht="15.75" customHeight="1">
      <c r="C838" s="5"/>
      <c r="F838" s="5"/>
      <c r="G838" s="5"/>
      <c r="J838" s="5"/>
      <c r="M838" s="5"/>
      <c r="P838" s="5"/>
      <c r="S838" s="5"/>
      <c r="V838" s="5"/>
    </row>
    <row r="839" ht="15.75" customHeight="1">
      <c r="C839" s="5"/>
      <c r="F839" s="5"/>
      <c r="G839" s="5"/>
      <c r="J839" s="5"/>
      <c r="M839" s="5"/>
      <c r="P839" s="5"/>
      <c r="S839" s="5"/>
      <c r="V839" s="5"/>
    </row>
    <row r="840" ht="15.75" customHeight="1">
      <c r="C840" s="5"/>
      <c r="F840" s="5"/>
      <c r="G840" s="5"/>
      <c r="J840" s="5"/>
      <c r="M840" s="5"/>
      <c r="P840" s="5"/>
      <c r="S840" s="5"/>
      <c r="V840" s="5"/>
    </row>
    <row r="841" ht="15.75" customHeight="1">
      <c r="C841" s="5"/>
      <c r="F841" s="5"/>
      <c r="G841" s="5"/>
      <c r="J841" s="5"/>
      <c r="M841" s="5"/>
      <c r="P841" s="5"/>
      <c r="S841" s="5"/>
      <c r="V841" s="5"/>
    </row>
    <row r="842" ht="15.75" customHeight="1">
      <c r="C842" s="5"/>
      <c r="F842" s="5"/>
      <c r="G842" s="5"/>
      <c r="J842" s="5"/>
      <c r="M842" s="5"/>
      <c r="P842" s="5"/>
      <c r="S842" s="5"/>
      <c r="V842" s="5"/>
    </row>
    <row r="843" ht="15.75" customHeight="1">
      <c r="C843" s="5"/>
      <c r="F843" s="5"/>
      <c r="G843" s="5"/>
      <c r="J843" s="5"/>
      <c r="M843" s="5"/>
      <c r="P843" s="5"/>
      <c r="S843" s="5"/>
      <c r="V843" s="5"/>
    </row>
    <row r="844" ht="15.75" customHeight="1">
      <c r="C844" s="5"/>
      <c r="F844" s="5"/>
      <c r="G844" s="5"/>
      <c r="J844" s="5"/>
      <c r="M844" s="5"/>
      <c r="P844" s="5"/>
      <c r="S844" s="5"/>
      <c r="V844" s="5"/>
    </row>
    <row r="845" ht="15.75" customHeight="1">
      <c r="C845" s="5"/>
      <c r="F845" s="5"/>
      <c r="G845" s="5"/>
      <c r="J845" s="5"/>
      <c r="M845" s="5"/>
      <c r="P845" s="5"/>
      <c r="S845" s="5"/>
      <c r="V845" s="5"/>
    </row>
    <row r="846" ht="15.75" customHeight="1">
      <c r="C846" s="5"/>
      <c r="F846" s="5"/>
      <c r="G846" s="5"/>
      <c r="J846" s="5"/>
      <c r="M846" s="5"/>
      <c r="P846" s="5"/>
      <c r="S846" s="5"/>
      <c r="V846" s="5"/>
    </row>
    <row r="847" ht="15.75" customHeight="1">
      <c r="C847" s="5"/>
      <c r="F847" s="5"/>
      <c r="G847" s="5"/>
      <c r="J847" s="5"/>
      <c r="M847" s="5"/>
      <c r="P847" s="5"/>
      <c r="S847" s="5"/>
      <c r="V847" s="5"/>
    </row>
    <row r="848" ht="15.75" customHeight="1">
      <c r="C848" s="5"/>
      <c r="F848" s="5"/>
      <c r="G848" s="5"/>
      <c r="J848" s="5"/>
      <c r="M848" s="5"/>
      <c r="P848" s="5"/>
      <c r="S848" s="5"/>
      <c r="V848" s="5"/>
    </row>
    <row r="849" ht="15.75" customHeight="1">
      <c r="C849" s="5"/>
      <c r="F849" s="5"/>
      <c r="G849" s="5"/>
      <c r="J849" s="5"/>
      <c r="M849" s="5"/>
      <c r="P849" s="5"/>
      <c r="S849" s="5"/>
      <c r="V849" s="5"/>
    </row>
    <row r="850" ht="15.75" customHeight="1">
      <c r="C850" s="5"/>
      <c r="F850" s="5"/>
      <c r="G850" s="5"/>
      <c r="J850" s="5"/>
      <c r="M850" s="5"/>
      <c r="P850" s="5"/>
      <c r="S850" s="5"/>
      <c r="V850" s="5"/>
    </row>
    <row r="851" ht="15.75" customHeight="1">
      <c r="C851" s="5"/>
      <c r="F851" s="5"/>
      <c r="G851" s="5"/>
      <c r="J851" s="5"/>
      <c r="M851" s="5"/>
      <c r="P851" s="5"/>
      <c r="S851" s="5"/>
      <c r="V851" s="5"/>
    </row>
    <row r="852" ht="15.75" customHeight="1">
      <c r="C852" s="5"/>
      <c r="F852" s="5"/>
      <c r="G852" s="5"/>
      <c r="J852" s="5"/>
      <c r="M852" s="5"/>
      <c r="P852" s="5"/>
      <c r="S852" s="5"/>
      <c r="V852" s="5"/>
    </row>
    <row r="853" ht="15.75" customHeight="1">
      <c r="C853" s="5"/>
      <c r="F853" s="5"/>
      <c r="G853" s="5"/>
      <c r="J853" s="5"/>
      <c r="M853" s="5"/>
      <c r="P853" s="5"/>
      <c r="S853" s="5"/>
      <c r="V853" s="5"/>
    </row>
    <row r="854" ht="15.75" customHeight="1">
      <c r="C854" s="5"/>
      <c r="F854" s="5"/>
      <c r="G854" s="5"/>
      <c r="J854" s="5"/>
      <c r="M854" s="5"/>
      <c r="P854" s="5"/>
      <c r="S854" s="5"/>
      <c r="V854" s="5"/>
    </row>
    <row r="855" ht="15.75" customHeight="1">
      <c r="C855" s="5"/>
      <c r="F855" s="5"/>
      <c r="G855" s="5"/>
      <c r="J855" s="5"/>
      <c r="M855" s="5"/>
      <c r="P855" s="5"/>
      <c r="S855" s="5"/>
      <c r="V855" s="5"/>
    </row>
    <row r="856" ht="15.75" customHeight="1">
      <c r="C856" s="5"/>
      <c r="F856" s="5"/>
      <c r="G856" s="5"/>
      <c r="J856" s="5"/>
      <c r="M856" s="5"/>
      <c r="P856" s="5"/>
      <c r="S856" s="5"/>
      <c r="V856" s="5"/>
    </row>
    <row r="857" ht="15.75" customHeight="1">
      <c r="C857" s="5"/>
      <c r="F857" s="5"/>
      <c r="G857" s="5"/>
      <c r="J857" s="5"/>
      <c r="M857" s="5"/>
      <c r="P857" s="5"/>
      <c r="S857" s="5"/>
      <c r="V857" s="5"/>
    </row>
    <row r="858" ht="15.75" customHeight="1">
      <c r="C858" s="5"/>
      <c r="F858" s="5"/>
      <c r="G858" s="5"/>
      <c r="J858" s="5"/>
      <c r="M858" s="5"/>
      <c r="P858" s="5"/>
      <c r="S858" s="5"/>
      <c r="V858" s="5"/>
    </row>
    <row r="859" ht="15.75" customHeight="1">
      <c r="C859" s="5"/>
      <c r="F859" s="5"/>
      <c r="G859" s="5"/>
      <c r="J859" s="5"/>
      <c r="M859" s="5"/>
      <c r="P859" s="5"/>
      <c r="S859" s="5"/>
      <c r="V859" s="5"/>
    </row>
    <row r="860" ht="15.75" customHeight="1">
      <c r="C860" s="5"/>
      <c r="F860" s="5"/>
      <c r="G860" s="5"/>
      <c r="J860" s="5"/>
      <c r="M860" s="5"/>
      <c r="P860" s="5"/>
      <c r="S860" s="5"/>
      <c r="V860" s="5"/>
    </row>
    <row r="861" ht="15.75" customHeight="1">
      <c r="C861" s="5"/>
      <c r="F861" s="5"/>
      <c r="G861" s="5"/>
      <c r="J861" s="5"/>
      <c r="M861" s="5"/>
      <c r="P861" s="5"/>
      <c r="S861" s="5"/>
      <c r="V861" s="5"/>
    </row>
    <row r="862" ht="15.75" customHeight="1">
      <c r="C862" s="5"/>
      <c r="F862" s="5"/>
      <c r="G862" s="5"/>
      <c r="J862" s="5"/>
      <c r="M862" s="5"/>
      <c r="P862" s="5"/>
      <c r="S862" s="5"/>
      <c r="V862" s="5"/>
    </row>
    <row r="863" ht="15.75" customHeight="1">
      <c r="C863" s="5"/>
      <c r="F863" s="5"/>
      <c r="G863" s="5"/>
      <c r="J863" s="5"/>
      <c r="M863" s="5"/>
      <c r="P863" s="5"/>
      <c r="S863" s="5"/>
      <c r="V863" s="5"/>
    </row>
    <row r="864" ht="15.75" customHeight="1">
      <c r="C864" s="5"/>
      <c r="F864" s="5"/>
      <c r="G864" s="5"/>
      <c r="J864" s="5"/>
      <c r="M864" s="5"/>
      <c r="P864" s="5"/>
      <c r="S864" s="5"/>
      <c r="V864" s="5"/>
    </row>
    <row r="865" ht="15.75" customHeight="1">
      <c r="C865" s="5"/>
      <c r="F865" s="5"/>
      <c r="G865" s="5"/>
      <c r="J865" s="5"/>
      <c r="M865" s="5"/>
      <c r="P865" s="5"/>
      <c r="S865" s="5"/>
      <c r="V865" s="5"/>
    </row>
    <row r="866" ht="15.75" customHeight="1">
      <c r="C866" s="5"/>
      <c r="F866" s="5"/>
      <c r="G866" s="5"/>
      <c r="J866" s="5"/>
      <c r="M866" s="5"/>
      <c r="P866" s="5"/>
      <c r="S866" s="5"/>
      <c r="V866" s="5"/>
    </row>
    <row r="867" ht="15.75" customHeight="1">
      <c r="C867" s="5"/>
      <c r="F867" s="5"/>
      <c r="G867" s="5"/>
      <c r="J867" s="5"/>
      <c r="M867" s="5"/>
      <c r="P867" s="5"/>
      <c r="S867" s="5"/>
      <c r="V867" s="5"/>
    </row>
    <row r="868" ht="15.75" customHeight="1">
      <c r="C868" s="5"/>
      <c r="F868" s="5"/>
      <c r="G868" s="5"/>
      <c r="J868" s="5"/>
      <c r="M868" s="5"/>
      <c r="P868" s="5"/>
      <c r="S868" s="5"/>
      <c r="V868" s="5"/>
    </row>
    <row r="869" ht="15.75" customHeight="1">
      <c r="C869" s="5"/>
      <c r="F869" s="5"/>
      <c r="G869" s="5"/>
      <c r="J869" s="5"/>
      <c r="M869" s="5"/>
      <c r="P869" s="5"/>
      <c r="S869" s="5"/>
      <c r="V869" s="5"/>
    </row>
    <row r="870" ht="15.75" customHeight="1">
      <c r="C870" s="5"/>
      <c r="F870" s="5"/>
      <c r="G870" s="5"/>
      <c r="J870" s="5"/>
      <c r="M870" s="5"/>
      <c r="P870" s="5"/>
      <c r="S870" s="5"/>
      <c r="V870" s="5"/>
    </row>
    <row r="871" ht="15.75" customHeight="1">
      <c r="C871" s="5"/>
      <c r="F871" s="5"/>
      <c r="G871" s="5"/>
      <c r="J871" s="5"/>
      <c r="M871" s="5"/>
      <c r="P871" s="5"/>
      <c r="S871" s="5"/>
      <c r="V871" s="5"/>
    </row>
    <row r="872" ht="15.75" customHeight="1">
      <c r="C872" s="5"/>
      <c r="F872" s="5"/>
      <c r="G872" s="5"/>
      <c r="J872" s="5"/>
      <c r="M872" s="5"/>
      <c r="P872" s="5"/>
      <c r="S872" s="5"/>
      <c r="V872" s="5"/>
    </row>
    <row r="873" ht="15.75" customHeight="1">
      <c r="C873" s="5"/>
      <c r="F873" s="5"/>
      <c r="G873" s="5"/>
      <c r="J873" s="5"/>
      <c r="M873" s="5"/>
      <c r="P873" s="5"/>
      <c r="S873" s="5"/>
      <c r="V873" s="5"/>
    </row>
    <row r="874" ht="15.75" customHeight="1">
      <c r="C874" s="5"/>
      <c r="F874" s="5"/>
      <c r="G874" s="5"/>
      <c r="J874" s="5"/>
      <c r="M874" s="5"/>
      <c r="P874" s="5"/>
      <c r="S874" s="5"/>
      <c r="V874" s="5"/>
    </row>
    <row r="875" ht="15.75" customHeight="1">
      <c r="C875" s="5"/>
      <c r="F875" s="5"/>
      <c r="G875" s="5"/>
      <c r="J875" s="5"/>
      <c r="M875" s="5"/>
      <c r="P875" s="5"/>
      <c r="S875" s="5"/>
      <c r="V875" s="5"/>
    </row>
    <row r="876" ht="15.75" customHeight="1">
      <c r="C876" s="5"/>
      <c r="F876" s="5"/>
      <c r="G876" s="5"/>
      <c r="J876" s="5"/>
      <c r="M876" s="5"/>
      <c r="P876" s="5"/>
      <c r="S876" s="5"/>
      <c r="V876" s="5"/>
    </row>
    <row r="877" ht="15.75" customHeight="1">
      <c r="C877" s="5"/>
      <c r="F877" s="5"/>
      <c r="G877" s="5"/>
      <c r="J877" s="5"/>
      <c r="M877" s="5"/>
      <c r="P877" s="5"/>
      <c r="S877" s="5"/>
      <c r="V877" s="5"/>
    </row>
    <row r="878" ht="15.75" customHeight="1">
      <c r="C878" s="5"/>
      <c r="F878" s="5"/>
      <c r="G878" s="5"/>
      <c r="J878" s="5"/>
      <c r="M878" s="5"/>
      <c r="P878" s="5"/>
      <c r="S878" s="5"/>
      <c r="V878" s="5"/>
    </row>
    <row r="879" ht="15.75" customHeight="1">
      <c r="C879" s="5"/>
      <c r="F879" s="5"/>
      <c r="G879" s="5"/>
      <c r="J879" s="5"/>
      <c r="M879" s="5"/>
      <c r="P879" s="5"/>
      <c r="S879" s="5"/>
      <c r="V879" s="5"/>
    </row>
    <row r="880" ht="15.75" customHeight="1">
      <c r="C880" s="5"/>
      <c r="F880" s="5"/>
      <c r="G880" s="5"/>
      <c r="J880" s="5"/>
      <c r="M880" s="5"/>
      <c r="P880" s="5"/>
      <c r="S880" s="5"/>
      <c r="V880" s="5"/>
    </row>
    <row r="881" ht="15.75" customHeight="1">
      <c r="C881" s="5"/>
      <c r="F881" s="5"/>
      <c r="G881" s="5"/>
      <c r="J881" s="5"/>
      <c r="M881" s="5"/>
      <c r="P881" s="5"/>
      <c r="S881" s="5"/>
      <c r="V881" s="5"/>
    </row>
    <row r="882" ht="15.75" customHeight="1">
      <c r="C882" s="5"/>
      <c r="F882" s="5"/>
      <c r="G882" s="5"/>
      <c r="J882" s="5"/>
      <c r="M882" s="5"/>
      <c r="P882" s="5"/>
      <c r="S882" s="5"/>
      <c r="V882" s="5"/>
    </row>
    <row r="883" ht="15.75" customHeight="1">
      <c r="C883" s="5"/>
      <c r="F883" s="5"/>
      <c r="G883" s="5"/>
      <c r="J883" s="5"/>
      <c r="M883" s="5"/>
      <c r="P883" s="5"/>
      <c r="S883" s="5"/>
      <c r="V883" s="5"/>
    </row>
    <row r="884" ht="15.75" customHeight="1">
      <c r="C884" s="5"/>
      <c r="F884" s="5"/>
      <c r="G884" s="5"/>
      <c r="J884" s="5"/>
      <c r="M884" s="5"/>
      <c r="P884" s="5"/>
      <c r="S884" s="5"/>
      <c r="V884" s="5"/>
    </row>
    <row r="885" ht="15.75" customHeight="1">
      <c r="C885" s="5"/>
      <c r="F885" s="5"/>
      <c r="G885" s="5"/>
      <c r="J885" s="5"/>
      <c r="M885" s="5"/>
      <c r="P885" s="5"/>
      <c r="S885" s="5"/>
      <c r="V885" s="5"/>
    </row>
    <row r="886" ht="15.75" customHeight="1">
      <c r="C886" s="5"/>
      <c r="F886" s="5"/>
      <c r="G886" s="5"/>
      <c r="J886" s="5"/>
      <c r="M886" s="5"/>
      <c r="P886" s="5"/>
      <c r="S886" s="5"/>
      <c r="V886" s="5"/>
    </row>
    <row r="887" ht="15.75" customHeight="1">
      <c r="C887" s="5"/>
      <c r="F887" s="5"/>
      <c r="G887" s="5"/>
      <c r="J887" s="5"/>
      <c r="M887" s="5"/>
      <c r="P887" s="5"/>
      <c r="S887" s="5"/>
      <c r="V887" s="5"/>
    </row>
    <row r="888" ht="15.75" customHeight="1">
      <c r="C888" s="5"/>
      <c r="F888" s="5"/>
      <c r="G888" s="5"/>
      <c r="J888" s="5"/>
      <c r="M888" s="5"/>
      <c r="P888" s="5"/>
      <c r="S888" s="5"/>
      <c r="V888" s="5"/>
    </row>
    <row r="889" ht="15.75" customHeight="1">
      <c r="C889" s="5"/>
      <c r="F889" s="5"/>
      <c r="G889" s="5"/>
      <c r="J889" s="5"/>
      <c r="M889" s="5"/>
      <c r="P889" s="5"/>
      <c r="S889" s="5"/>
      <c r="V889" s="5"/>
    </row>
    <row r="890" ht="15.75" customHeight="1">
      <c r="C890" s="5"/>
      <c r="F890" s="5"/>
      <c r="G890" s="5"/>
      <c r="J890" s="5"/>
      <c r="M890" s="5"/>
      <c r="P890" s="5"/>
      <c r="S890" s="5"/>
      <c r="V890" s="5"/>
    </row>
    <row r="891" ht="15.75" customHeight="1">
      <c r="C891" s="5"/>
      <c r="F891" s="5"/>
      <c r="G891" s="5"/>
      <c r="J891" s="5"/>
      <c r="M891" s="5"/>
      <c r="P891" s="5"/>
      <c r="S891" s="5"/>
      <c r="V891" s="5"/>
    </row>
    <row r="892" ht="15.75" customHeight="1">
      <c r="C892" s="5"/>
      <c r="F892" s="5"/>
      <c r="G892" s="5"/>
      <c r="J892" s="5"/>
      <c r="M892" s="5"/>
      <c r="P892" s="5"/>
      <c r="S892" s="5"/>
      <c r="V892" s="5"/>
    </row>
    <row r="893" ht="15.75" customHeight="1">
      <c r="C893" s="5"/>
      <c r="F893" s="5"/>
      <c r="G893" s="5"/>
      <c r="J893" s="5"/>
      <c r="M893" s="5"/>
      <c r="P893" s="5"/>
      <c r="S893" s="5"/>
      <c r="V893" s="5"/>
    </row>
    <row r="894" ht="15.75" customHeight="1">
      <c r="C894" s="5"/>
      <c r="F894" s="5"/>
      <c r="G894" s="5"/>
      <c r="J894" s="5"/>
      <c r="M894" s="5"/>
      <c r="P894" s="5"/>
      <c r="S894" s="5"/>
      <c r="V894" s="5"/>
    </row>
    <row r="895" ht="15.75" customHeight="1">
      <c r="C895" s="5"/>
      <c r="F895" s="5"/>
      <c r="G895" s="5"/>
      <c r="J895" s="5"/>
      <c r="M895" s="5"/>
      <c r="P895" s="5"/>
      <c r="S895" s="5"/>
      <c r="V895" s="5"/>
    </row>
    <row r="896" ht="15.75" customHeight="1">
      <c r="C896" s="5"/>
      <c r="F896" s="5"/>
      <c r="G896" s="5"/>
      <c r="J896" s="5"/>
      <c r="M896" s="5"/>
      <c r="P896" s="5"/>
      <c r="S896" s="5"/>
      <c r="V896" s="5"/>
    </row>
    <row r="897" ht="15.75" customHeight="1">
      <c r="C897" s="5"/>
      <c r="F897" s="5"/>
      <c r="G897" s="5"/>
      <c r="J897" s="5"/>
      <c r="M897" s="5"/>
      <c r="P897" s="5"/>
      <c r="S897" s="5"/>
      <c r="V897" s="5"/>
    </row>
    <row r="898" ht="15.75" customHeight="1">
      <c r="C898" s="5"/>
      <c r="F898" s="5"/>
      <c r="G898" s="5"/>
      <c r="J898" s="5"/>
      <c r="M898" s="5"/>
      <c r="P898" s="5"/>
      <c r="S898" s="5"/>
      <c r="V898" s="5"/>
    </row>
    <row r="899" ht="15.75" customHeight="1">
      <c r="C899" s="5"/>
      <c r="F899" s="5"/>
      <c r="G899" s="5"/>
      <c r="J899" s="5"/>
      <c r="M899" s="5"/>
      <c r="P899" s="5"/>
      <c r="S899" s="5"/>
      <c r="V899" s="5"/>
    </row>
    <row r="900" ht="15.75" customHeight="1">
      <c r="C900" s="5"/>
      <c r="F900" s="5"/>
      <c r="G900" s="5"/>
      <c r="J900" s="5"/>
      <c r="M900" s="5"/>
      <c r="P900" s="5"/>
      <c r="S900" s="5"/>
      <c r="V900" s="5"/>
    </row>
    <row r="901" ht="15.75" customHeight="1">
      <c r="C901" s="5"/>
      <c r="F901" s="5"/>
      <c r="G901" s="5"/>
      <c r="J901" s="5"/>
      <c r="M901" s="5"/>
      <c r="P901" s="5"/>
      <c r="S901" s="5"/>
      <c r="V901" s="5"/>
    </row>
    <row r="902" ht="15.75" customHeight="1">
      <c r="C902" s="5"/>
      <c r="F902" s="5"/>
      <c r="G902" s="5"/>
      <c r="J902" s="5"/>
      <c r="M902" s="5"/>
      <c r="P902" s="5"/>
      <c r="S902" s="5"/>
      <c r="V902" s="5"/>
    </row>
    <row r="903" ht="15.75" customHeight="1">
      <c r="C903" s="5"/>
      <c r="F903" s="5"/>
      <c r="G903" s="5"/>
      <c r="J903" s="5"/>
      <c r="M903" s="5"/>
      <c r="P903" s="5"/>
      <c r="S903" s="5"/>
      <c r="V903" s="5"/>
    </row>
    <row r="904" ht="15.75" customHeight="1">
      <c r="C904" s="5"/>
      <c r="F904" s="5"/>
      <c r="G904" s="5"/>
      <c r="J904" s="5"/>
      <c r="M904" s="5"/>
      <c r="P904" s="5"/>
      <c r="S904" s="5"/>
      <c r="V904" s="5"/>
    </row>
    <row r="905" ht="15.75" customHeight="1">
      <c r="C905" s="5"/>
      <c r="F905" s="5"/>
      <c r="G905" s="5"/>
      <c r="J905" s="5"/>
      <c r="M905" s="5"/>
      <c r="P905" s="5"/>
      <c r="S905" s="5"/>
      <c r="V905" s="5"/>
    </row>
    <row r="906" ht="15.75" customHeight="1">
      <c r="C906" s="5"/>
      <c r="F906" s="5"/>
      <c r="G906" s="5"/>
      <c r="J906" s="5"/>
      <c r="M906" s="5"/>
      <c r="P906" s="5"/>
      <c r="S906" s="5"/>
      <c r="V906" s="5"/>
    </row>
    <row r="907" ht="15.75" customHeight="1">
      <c r="C907" s="5"/>
      <c r="F907" s="5"/>
      <c r="G907" s="5"/>
      <c r="J907" s="5"/>
      <c r="M907" s="5"/>
      <c r="P907" s="5"/>
      <c r="S907" s="5"/>
      <c r="V907" s="5"/>
    </row>
    <row r="908" ht="15.75" customHeight="1">
      <c r="C908" s="5"/>
      <c r="F908" s="5"/>
      <c r="G908" s="5"/>
      <c r="J908" s="5"/>
      <c r="M908" s="5"/>
      <c r="P908" s="5"/>
      <c r="S908" s="5"/>
      <c r="V908" s="5"/>
    </row>
    <row r="909" ht="15.75" customHeight="1">
      <c r="C909" s="5"/>
      <c r="F909" s="5"/>
      <c r="G909" s="5"/>
      <c r="J909" s="5"/>
      <c r="M909" s="5"/>
      <c r="P909" s="5"/>
      <c r="S909" s="5"/>
      <c r="V909" s="5"/>
    </row>
    <row r="910" ht="15.75" customHeight="1">
      <c r="C910" s="5"/>
      <c r="F910" s="5"/>
      <c r="G910" s="5"/>
      <c r="J910" s="5"/>
      <c r="M910" s="5"/>
      <c r="P910" s="5"/>
      <c r="S910" s="5"/>
      <c r="V910" s="5"/>
    </row>
    <row r="911" ht="15.75" customHeight="1">
      <c r="C911" s="5"/>
      <c r="F911" s="5"/>
      <c r="G911" s="5"/>
      <c r="J911" s="5"/>
      <c r="M911" s="5"/>
      <c r="P911" s="5"/>
      <c r="S911" s="5"/>
      <c r="V911" s="5"/>
    </row>
    <row r="912" ht="15.75" customHeight="1">
      <c r="C912" s="5"/>
      <c r="F912" s="5"/>
      <c r="G912" s="5"/>
      <c r="J912" s="5"/>
      <c r="M912" s="5"/>
      <c r="P912" s="5"/>
      <c r="S912" s="5"/>
      <c r="V912" s="5"/>
    </row>
    <row r="913" ht="15.75" customHeight="1">
      <c r="C913" s="5"/>
      <c r="F913" s="5"/>
      <c r="G913" s="5"/>
      <c r="J913" s="5"/>
      <c r="M913" s="5"/>
      <c r="P913" s="5"/>
      <c r="S913" s="5"/>
      <c r="V913" s="5"/>
    </row>
    <row r="914" ht="15.75" customHeight="1">
      <c r="C914" s="5"/>
      <c r="F914" s="5"/>
      <c r="G914" s="5"/>
      <c r="J914" s="5"/>
      <c r="M914" s="5"/>
      <c r="P914" s="5"/>
      <c r="S914" s="5"/>
      <c r="V914" s="5"/>
    </row>
    <row r="915" ht="15.75" customHeight="1">
      <c r="C915" s="5"/>
      <c r="F915" s="5"/>
      <c r="G915" s="5"/>
      <c r="J915" s="5"/>
      <c r="M915" s="5"/>
      <c r="P915" s="5"/>
      <c r="S915" s="5"/>
      <c r="V915" s="5"/>
    </row>
    <row r="916" ht="15.75" customHeight="1">
      <c r="C916" s="5"/>
      <c r="F916" s="5"/>
      <c r="G916" s="5"/>
      <c r="J916" s="5"/>
      <c r="M916" s="5"/>
      <c r="P916" s="5"/>
      <c r="S916" s="5"/>
      <c r="V916" s="5"/>
    </row>
    <row r="917" ht="15.75" customHeight="1">
      <c r="C917" s="5"/>
      <c r="F917" s="5"/>
      <c r="G917" s="5"/>
      <c r="J917" s="5"/>
      <c r="M917" s="5"/>
      <c r="P917" s="5"/>
      <c r="S917" s="5"/>
      <c r="V917" s="5"/>
    </row>
    <row r="918" ht="15.75" customHeight="1">
      <c r="C918" s="5"/>
      <c r="F918" s="5"/>
      <c r="G918" s="5"/>
      <c r="J918" s="5"/>
      <c r="M918" s="5"/>
      <c r="P918" s="5"/>
      <c r="S918" s="5"/>
      <c r="V918" s="5"/>
    </row>
    <row r="919" ht="15.75" customHeight="1">
      <c r="C919" s="5"/>
      <c r="F919" s="5"/>
      <c r="G919" s="5"/>
      <c r="J919" s="5"/>
      <c r="M919" s="5"/>
      <c r="P919" s="5"/>
      <c r="S919" s="5"/>
      <c r="V919" s="5"/>
    </row>
    <row r="920" ht="15.75" customHeight="1">
      <c r="C920" s="5"/>
      <c r="F920" s="5"/>
      <c r="G920" s="5"/>
      <c r="J920" s="5"/>
      <c r="M920" s="5"/>
      <c r="P920" s="5"/>
      <c r="S920" s="5"/>
      <c r="V920" s="5"/>
    </row>
    <row r="921" ht="15.75" customHeight="1">
      <c r="C921" s="5"/>
      <c r="F921" s="5"/>
      <c r="G921" s="5"/>
      <c r="J921" s="5"/>
      <c r="M921" s="5"/>
      <c r="P921" s="5"/>
      <c r="S921" s="5"/>
      <c r="V921" s="5"/>
    </row>
    <row r="922" ht="15.75" customHeight="1">
      <c r="C922" s="5"/>
      <c r="F922" s="5"/>
      <c r="G922" s="5"/>
      <c r="J922" s="5"/>
      <c r="M922" s="5"/>
      <c r="P922" s="5"/>
      <c r="S922" s="5"/>
      <c r="V922" s="5"/>
    </row>
    <row r="923" ht="15.75" customHeight="1">
      <c r="C923" s="5"/>
      <c r="F923" s="5"/>
      <c r="G923" s="5"/>
      <c r="J923" s="5"/>
      <c r="M923" s="5"/>
      <c r="P923" s="5"/>
      <c r="S923" s="5"/>
      <c r="V923" s="5"/>
    </row>
    <row r="924" ht="15.75" customHeight="1">
      <c r="C924" s="5"/>
      <c r="F924" s="5"/>
      <c r="G924" s="5"/>
      <c r="J924" s="5"/>
      <c r="M924" s="5"/>
      <c r="P924" s="5"/>
      <c r="S924" s="5"/>
      <c r="V924" s="5"/>
    </row>
    <row r="925" ht="15.75" customHeight="1">
      <c r="C925" s="5"/>
      <c r="F925" s="5"/>
      <c r="G925" s="5"/>
      <c r="J925" s="5"/>
      <c r="M925" s="5"/>
      <c r="P925" s="5"/>
      <c r="S925" s="5"/>
      <c r="V925" s="5"/>
    </row>
    <row r="926" ht="15.75" customHeight="1">
      <c r="C926" s="5"/>
      <c r="F926" s="5"/>
      <c r="G926" s="5"/>
      <c r="J926" s="5"/>
      <c r="M926" s="5"/>
      <c r="P926" s="5"/>
      <c r="S926" s="5"/>
      <c r="V926" s="5"/>
    </row>
    <row r="927" ht="15.75" customHeight="1">
      <c r="C927" s="5"/>
      <c r="F927" s="5"/>
      <c r="G927" s="5"/>
      <c r="J927" s="5"/>
      <c r="M927" s="5"/>
      <c r="P927" s="5"/>
      <c r="S927" s="5"/>
      <c r="V927" s="5"/>
    </row>
    <row r="928" ht="15.75" customHeight="1">
      <c r="C928" s="5"/>
      <c r="F928" s="5"/>
      <c r="G928" s="5"/>
      <c r="J928" s="5"/>
      <c r="M928" s="5"/>
      <c r="P928" s="5"/>
      <c r="S928" s="5"/>
      <c r="V928" s="5"/>
    </row>
    <row r="929" ht="15.75" customHeight="1">
      <c r="C929" s="5"/>
      <c r="F929" s="5"/>
      <c r="G929" s="5"/>
      <c r="J929" s="5"/>
      <c r="M929" s="5"/>
      <c r="P929" s="5"/>
      <c r="S929" s="5"/>
      <c r="V929" s="5"/>
    </row>
    <row r="930" ht="15.75" customHeight="1">
      <c r="C930" s="5"/>
      <c r="F930" s="5"/>
      <c r="G930" s="5"/>
      <c r="J930" s="5"/>
      <c r="M930" s="5"/>
      <c r="P930" s="5"/>
      <c r="S930" s="5"/>
      <c r="V930" s="5"/>
    </row>
    <row r="931" ht="15.75" customHeight="1">
      <c r="C931" s="5"/>
      <c r="F931" s="5"/>
      <c r="G931" s="5"/>
      <c r="J931" s="5"/>
      <c r="M931" s="5"/>
      <c r="P931" s="5"/>
      <c r="S931" s="5"/>
      <c r="V931" s="5"/>
    </row>
    <row r="932" ht="15.75" customHeight="1">
      <c r="C932" s="5"/>
      <c r="F932" s="5"/>
      <c r="G932" s="5"/>
      <c r="J932" s="5"/>
      <c r="M932" s="5"/>
      <c r="P932" s="5"/>
      <c r="S932" s="5"/>
      <c r="V932" s="5"/>
    </row>
    <row r="933" ht="15.75" customHeight="1">
      <c r="C933" s="5"/>
      <c r="F933" s="5"/>
      <c r="G933" s="5"/>
      <c r="J933" s="5"/>
      <c r="M933" s="5"/>
      <c r="P933" s="5"/>
      <c r="S933" s="5"/>
      <c r="V933" s="5"/>
    </row>
    <row r="934" ht="15.75" customHeight="1">
      <c r="C934" s="5"/>
      <c r="F934" s="5"/>
      <c r="G934" s="5"/>
      <c r="J934" s="5"/>
      <c r="M934" s="5"/>
      <c r="P934" s="5"/>
      <c r="S934" s="5"/>
      <c r="V934" s="5"/>
    </row>
    <row r="935" ht="15.75" customHeight="1">
      <c r="C935" s="5"/>
      <c r="F935" s="5"/>
      <c r="G935" s="5"/>
      <c r="J935" s="5"/>
      <c r="M935" s="5"/>
      <c r="P935" s="5"/>
      <c r="S935" s="5"/>
      <c r="V935" s="5"/>
    </row>
    <row r="936" ht="15.75" customHeight="1">
      <c r="C936" s="5"/>
      <c r="F936" s="5"/>
      <c r="G936" s="5"/>
      <c r="J936" s="5"/>
      <c r="M936" s="5"/>
      <c r="P936" s="5"/>
      <c r="S936" s="5"/>
      <c r="V936" s="5"/>
    </row>
    <row r="937" ht="15.75" customHeight="1">
      <c r="C937" s="5"/>
      <c r="F937" s="5"/>
      <c r="G937" s="5"/>
      <c r="J937" s="5"/>
      <c r="M937" s="5"/>
      <c r="P937" s="5"/>
      <c r="S937" s="5"/>
      <c r="V937" s="5"/>
    </row>
    <row r="938" ht="15.75" customHeight="1">
      <c r="C938" s="5"/>
      <c r="F938" s="5"/>
      <c r="G938" s="5"/>
      <c r="J938" s="5"/>
      <c r="M938" s="5"/>
      <c r="P938" s="5"/>
      <c r="S938" s="5"/>
      <c r="V938" s="5"/>
    </row>
    <row r="939" ht="15.75" customHeight="1">
      <c r="C939" s="5"/>
      <c r="F939" s="5"/>
      <c r="G939" s="5"/>
      <c r="J939" s="5"/>
      <c r="M939" s="5"/>
      <c r="P939" s="5"/>
      <c r="S939" s="5"/>
      <c r="V939" s="5"/>
    </row>
    <row r="940" ht="15.75" customHeight="1">
      <c r="C940" s="5"/>
      <c r="F940" s="5"/>
      <c r="G940" s="5"/>
      <c r="J940" s="5"/>
      <c r="M940" s="5"/>
      <c r="P940" s="5"/>
      <c r="S940" s="5"/>
      <c r="V940" s="5"/>
    </row>
    <row r="941" ht="15.75" customHeight="1">
      <c r="C941" s="5"/>
      <c r="F941" s="5"/>
      <c r="G941" s="5"/>
      <c r="J941" s="5"/>
      <c r="M941" s="5"/>
      <c r="P941" s="5"/>
      <c r="S941" s="5"/>
      <c r="V941" s="5"/>
    </row>
    <row r="942" ht="15.75" customHeight="1">
      <c r="C942" s="5"/>
      <c r="F942" s="5"/>
      <c r="G942" s="5"/>
      <c r="J942" s="5"/>
      <c r="M942" s="5"/>
      <c r="P942" s="5"/>
      <c r="S942" s="5"/>
      <c r="V942" s="5"/>
    </row>
    <row r="943" ht="15.75" customHeight="1">
      <c r="C943" s="5"/>
      <c r="F943" s="5"/>
      <c r="G943" s="5"/>
      <c r="J943" s="5"/>
      <c r="M943" s="5"/>
      <c r="P943" s="5"/>
      <c r="S943" s="5"/>
      <c r="V943" s="5"/>
    </row>
    <row r="944" ht="15.75" customHeight="1">
      <c r="C944" s="5"/>
      <c r="F944" s="5"/>
      <c r="G944" s="5"/>
      <c r="J944" s="5"/>
      <c r="M944" s="5"/>
      <c r="P944" s="5"/>
      <c r="S944" s="5"/>
      <c r="V944" s="5"/>
    </row>
    <row r="945" ht="15.75" customHeight="1">
      <c r="C945" s="5"/>
      <c r="F945" s="5"/>
      <c r="G945" s="5"/>
      <c r="J945" s="5"/>
      <c r="M945" s="5"/>
      <c r="P945" s="5"/>
      <c r="S945" s="5"/>
      <c r="V945" s="5"/>
    </row>
    <row r="946" ht="15.75" customHeight="1">
      <c r="C946" s="5"/>
      <c r="F946" s="5"/>
      <c r="G946" s="5"/>
      <c r="J946" s="5"/>
      <c r="M946" s="5"/>
      <c r="P946" s="5"/>
      <c r="S946" s="5"/>
      <c r="V946" s="5"/>
    </row>
    <row r="947" ht="15.75" customHeight="1">
      <c r="C947" s="5"/>
      <c r="F947" s="5"/>
      <c r="G947" s="5"/>
      <c r="J947" s="5"/>
      <c r="M947" s="5"/>
      <c r="P947" s="5"/>
      <c r="S947" s="5"/>
      <c r="V947" s="5"/>
    </row>
    <row r="948" ht="15.75" customHeight="1">
      <c r="C948" s="5"/>
      <c r="F948" s="5"/>
      <c r="G948" s="5"/>
      <c r="J948" s="5"/>
      <c r="M948" s="5"/>
      <c r="P948" s="5"/>
      <c r="S948" s="5"/>
      <c r="V948" s="5"/>
    </row>
    <row r="949" ht="15.75" customHeight="1">
      <c r="C949" s="5"/>
      <c r="F949" s="5"/>
      <c r="G949" s="5"/>
      <c r="J949" s="5"/>
      <c r="M949" s="5"/>
      <c r="P949" s="5"/>
      <c r="S949" s="5"/>
      <c r="V949" s="5"/>
    </row>
    <row r="950" ht="15.75" customHeight="1">
      <c r="C950" s="5"/>
      <c r="F950" s="5"/>
      <c r="G950" s="5"/>
      <c r="J950" s="5"/>
      <c r="M950" s="5"/>
      <c r="P950" s="5"/>
      <c r="S950" s="5"/>
      <c r="V950" s="5"/>
    </row>
    <row r="951" ht="15.75" customHeight="1">
      <c r="C951" s="5"/>
      <c r="F951" s="5"/>
      <c r="G951" s="5"/>
      <c r="J951" s="5"/>
      <c r="M951" s="5"/>
      <c r="P951" s="5"/>
      <c r="S951" s="5"/>
      <c r="V951" s="5"/>
    </row>
    <row r="952" ht="15.75" customHeight="1">
      <c r="C952" s="5"/>
      <c r="F952" s="5"/>
      <c r="G952" s="5"/>
      <c r="J952" s="5"/>
      <c r="M952" s="5"/>
      <c r="P952" s="5"/>
      <c r="S952" s="5"/>
      <c r="V952" s="5"/>
    </row>
    <row r="953" ht="15.75" customHeight="1">
      <c r="C953" s="5"/>
      <c r="F953" s="5"/>
      <c r="G953" s="5"/>
      <c r="J953" s="5"/>
      <c r="M953" s="5"/>
      <c r="P953" s="5"/>
      <c r="S953" s="5"/>
      <c r="V953" s="5"/>
    </row>
    <row r="954" ht="15.75" customHeight="1">
      <c r="C954" s="5"/>
      <c r="F954" s="5"/>
      <c r="G954" s="5"/>
      <c r="J954" s="5"/>
      <c r="M954" s="5"/>
      <c r="P954" s="5"/>
      <c r="S954" s="5"/>
      <c r="V954" s="5"/>
    </row>
    <row r="955" ht="15.75" customHeight="1">
      <c r="C955" s="5"/>
      <c r="F955" s="5"/>
      <c r="G955" s="5"/>
      <c r="J955" s="5"/>
      <c r="M955" s="5"/>
      <c r="P955" s="5"/>
      <c r="S955" s="5"/>
      <c r="V955" s="5"/>
    </row>
    <row r="956" ht="15.75" customHeight="1">
      <c r="C956" s="5"/>
      <c r="F956" s="5"/>
      <c r="G956" s="5"/>
      <c r="J956" s="5"/>
      <c r="M956" s="5"/>
      <c r="P956" s="5"/>
      <c r="S956" s="5"/>
      <c r="V956" s="5"/>
    </row>
    <row r="957" ht="15.75" customHeight="1">
      <c r="C957" s="5"/>
      <c r="F957" s="5"/>
      <c r="G957" s="5"/>
      <c r="J957" s="5"/>
      <c r="M957" s="5"/>
      <c r="P957" s="5"/>
      <c r="S957" s="5"/>
      <c r="V957" s="5"/>
    </row>
    <row r="958" ht="15.75" customHeight="1">
      <c r="C958" s="5"/>
      <c r="F958" s="5"/>
      <c r="G958" s="5"/>
      <c r="J958" s="5"/>
      <c r="M958" s="5"/>
      <c r="P958" s="5"/>
      <c r="S958" s="5"/>
      <c r="V958" s="5"/>
    </row>
    <row r="959" ht="15.75" customHeight="1">
      <c r="C959" s="5"/>
      <c r="F959" s="5"/>
      <c r="G959" s="5"/>
      <c r="J959" s="5"/>
      <c r="M959" s="5"/>
      <c r="P959" s="5"/>
      <c r="S959" s="5"/>
      <c r="V959" s="5"/>
    </row>
    <row r="960" ht="15.75" customHeight="1">
      <c r="C960" s="5"/>
      <c r="F960" s="5"/>
      <c r="G960" s="5"/>
      <c r="J960" s="5"/>
      <c r="M960" s="5"/>
      <c r="P960" s="5"/>
      <c r="S960" s="5"/>
      <c r="V960" s="5"/>
    </row>
    <row r="961" ht="15.75" customHeight="1">
      <c r="C961" s="5"/>
      <c r="F961" s="5"/>
      <c r="G961" s="5"/>
      <c r="J961" s="5"/>
      <c r="M961" s="5"/>
      <c r="P961" s="5"/>
      <c r="S961" s="5"/>
      <c r="V961" s="5"/>
    </row>
    <row r="962" ht="15.75" customHeight="1">
      <c r="C962" s="5"/>
      <c r="F962" s="5"/>
      <c r="G962" s="5"/>
      <c r="J962" s="5"/>
      <c r="M962" s="5"/>
      <c r="P962" s="5"/>
      <c r="S962" s="5"/>
      <c r="V962" s="5"/>
    </row>
    <row r="963" ht="15.75" customHeight="1">
      <c r="C963" s="5"/>
      <c r="F963" s="5"/>
      <c r="G963" s="5"/>
      <c r="J963" s="5"/>
      <c r="M963" s="5"/>
      <c r="P963" s="5"/>
      <c r="S963" s="5"/>
      <c r="V963" s="5"/>
    </row>
    <row r="964" ht="15.75" customHeight="1">
      <c r="C964" s="5"/>
      <c r="F964" s="5"/>
      <c r="G964" s="5"/>
      <c r="J964" s="5"/>
      <c r="M964" s="5"/>
      <c r="P964" s="5"/>
      <c r="S964" s="5"/>
      <c r="V964" s="5"/>
    </row>
    <row r="965" ht="15.75" customHeight="1">
      <c r="C965" s="5"/>
      <c r="F965" s="5"/>
      <c r="G965" s="5"/>
      <c r="J965" s="5"/>
      <c r="M965" s="5"/>
      <c r="P965" s="5"/>
      <c r="S965" s="5"/>
      <c r="V965" s="5"/>
    </row>
    <row r="966" ht="15.75" customHeight="1">
      <c r="C966" s="5"/>
      <c r="F966" s="5"/>
      <c r="G966" s="5"/>
      <c r="J966" s="5"/>
      <c r="M966" s="5"/>
      <c r="P966" s="5"/>
      <c r="S966" s="5"/>
      <c r="V966" s="5"/>
    </row>
    <row r="967" ht="15.75" customHeight="1">
      <c r="C967" s="5"/>
      <c r="F967" s="5"/>
      <c r="G967" s="5"/>
      <c r="J967" s="5"/>
      <c r="M967" s="5"/>
      <c r="P967" s="5"/>
      <c r="S967" s="5"/>
      <c r="V967" s="5"/>
    </row>
    <row r="968" ht="15.75" customHeight="1">
      <c r="C968" s="5"/>
      <c r="F968" s="5"/>
      <c r="G968" s="5"/>
      <c r="J968" s="5"/>
      <c r="M968" s="5"/>
      <c r="P968" s="5"/>
      <c r="S968" s="5"/>
      <c r="V968" s="5"/>
    </row>
    <row r="969" ht="15.75" customHeight="1">
      <c r="C969" s="5"/>
      <c r="F969" s="5"/>
      <c r="G969" s="5"/>
      <c r="J969" s="5"/>
      <c r="M969" s="5"/>
      <c r="P969" s="5"/>
      <c r="S969" s="5"/>
      <c r="V969" s="5"/>
    </row>
    <row r="970" ht="15.75" customHeight="1">
      <c r="C970" s="5"/>
      <c r="F970" s="5"/>
      <c r="G970" s="5"/>
      <c r="J970" s="5"/>
      <c r="M970" s="5"/>
      <c r="P970" s="5"/>
      <c r="S970" s="5"/>
      <c r="V970" s="5"/>
    </row>
    <row r="971" ht="15.75" customHeight="1">
      <c r="C971" s="5"/>
      <c r="F971" s="5"/>
      <c r="G971" s="5"/>
      <c r="J971" s="5"/>
      <c r="M971" s="5"/>
      <c r="P971" s="5"/>
      <c r="S971" s="5"/>
      <c r="V971" s="5"/>
    </row>
    <row r="972" ht="15.75" customHeight="1">
      <c r="C972" s="5"/>
      <c r="F972" s="5"/>
      <c r="G972" s="5"/>
      <c r="J972" s="5"/>
      <c r="M972" s="5"/>
      <c r="P972" s="5"/>
      <c r="S972" s="5"/>
      <c r="V972" s="5"/>
    </row>
    <row r="973" ht="15.75" customHeight="1">
      <c r="C973" s="5"/>
      <c r="F973" s="5"/>
      <c r="G973" s="5"/>
      <c r="J973" s="5"/>
      <c r="M973" s="5"/>
      <c r="P973" s="5"/>
      <c r="S973" s="5"/>
      <c r="V973" s="5"/>
    </row>
    <row r="974" ht="15.75" customHeight="1">
      <c r="C974" s="5"/>
      <c r="F974" s="5"/>
      <c r="G974" s="5"/>
      <c r="J974" s="5"/>
      <c r="M974" s="5"/>
      <c r="P974" s="5"/>
      <c r="S974" s="5"/>
      <c r="V974" s="5"/>
    </row>
    <row r="975" ht="15.75" customHeight="1">
      <c r="C975" s="5"/>
      <c r="F975" s="5"/>
      <c r="G975" s="5"/>
      <c r="J975" s="5"/>
      <c r="M975" s="5"/>
      <c r="P975" s="5"/>
      <c r="S975" s="5"/>
      <c r="V975" s="5"/>
    </row>
    <row r="976" ht="15.75" customHeight="1">
      <c r="C976" s="5"/>
      <c r="F976" s="5"/>
      <c r="G976" s="5"/>
      <c r="J976" s="5"/>
      <c r="M976" s="5"/>
      <c r="P976" s="5"/>
      <c r="S976" s="5"/>
      <c r="V976" s="5"/>
    </row>
    <row r="977" ht="15.75" customHeight="1">
      <c r="C977" s="5"/>
      <c r="F977" s="5"/>
      <c r="G977" s="5"/>
      <c r="J977" s="5"/>
      <c r="M977" s="5"/>
      <c r="P977" s="5"/>
      <c r="S977" s="5"/>
      <c r="V977" s="5"/>
    </row>
    <row r="978" ht="15.75" customHeight="1">
      <c r="C978" s="5"/>
      <c r="F978" s="5"/>
      <c r="G978" s="5"/>
      <c r="J978" s="5"/>
      <c r="M978" s="5"/>
      <c r="P978" s="5"/>
      <c r="S978" s="5"/>
      <c r="V978" s="5"/>
    </row>
    <row r="979" ht="15.75" customHeight="1">
      <c r="C979" s="5"/>
      <c r="F979" s="5"/>
      <c r="G979" s="5"/>
      <c r="J979" s="5"/>
      <c r="M979" s="5"/>
      <c r="P979" s="5"/>
      <c r="S979" s="5"/>
      <c r="V979" s="5"/>
    </row>
    <row r="980" ht="15.75" customHeight="1">
      <c r="C980" s="5"/>
      <c r="F980" s="5"/>
      <c r="G980" s="5"/>
      <c r="J980" s="5"/>
      <c r="M980" s="5"/>
      <c r="P980" s="5"/>
      <c r="S980" s="5"/>
      <c r="V980" s="5"/>
    </row>
    <row r="981" ht="15.75" customHeight="1">
      <c r="C981" s="5"/>
      <c r="F981" s="5"/>
      <c r="G981" s="5"/>
      <c r="J981" s="5"/>
      <c r="M981" s="5"/>
      <c r="P981" s="5"/>
      <c r="S981" s="5"/>
      <c r="V981" s="5"/>
    </row>
    <row r="982" ht="15.75" customHeight="1">
      <c r="C982" s="5"/>
      <c r="F982" s="5"/>
      <c r="G982" s="5"/>
      <c r="J982" s="5"/>
      <c r="M982" s="5"/>
      <c r="P982" s="5"/>
      <c r="S982" s="5"/>
      <c r="V982" s="5"/>
    </row>
    <row r="983" ht="15.75" customHeight="1">
      <c r="C983" s="5"/>
      <c r="F983" s="5"/>
      <c r="G983" s="5"/>
      <c r="J983" s="5"/>
      <c r="M983" s="5"/>
      <c r="P983" s="5"/>
      <c r="S983" s="5"/>
      <c r="V983" s="5"/>
    </row>
    <row r="984" ht="15.75" customHeight="1">
      <c r="C984" s="5"/>
      <c r="F984" s="5"/>
      <c r="G984" s="5"/>
      <c r="J984" s="5"/>
      <c r="M984" s="5"/>
      <c r="P984" s="5"/>
      <c r="S984" s="5"/>
      <c r="V984" s="5"/>
    </row>
    <row r="985" ht="15.75" customHeight="1">
      <c r="C985" s="5"/>
      <c r="F985" s="5"/>
      <c r="G985" s="5"/>
      <c r="J985" s="5"/>
      <c r="M985" s="5"/>
      <c r="P985" s="5"/>
      <c r="S985" s="5"/>
      <c r="V985" s="5"/>
    </row>
    <row r="986" ht="15.75" customHeight="1">
      <c r="C986" s="5"/>
      <c r="F986" s="5"/>
      <c r="G986" s="5"/>
      <c r="J986" s="5"/>
      <c r="M986" s="5"/>
      <c r="P986" s="5"/>
      <c r="S986" s="5"/>
      <c r="V986" s="5"/>
    </row>
    <row r="987" ht="15.75" customHeight="1">
      <c r="C987" s="5"/>
      <c r="F987" s="5"/>
      <c r="G987" s="5"/>
      <c r="J987" s="5"/>
      <c r="M987" s="5"/>
      <c r="P987" s="5"/>
      <c r="S987" s="5"/>
      <c r="V987" s="5"/>
    </row>
    <row r="988" ht="15.75" customHeight="1">
      <c r="C988" s="5"/>
      <c r="F988" s="5"/>
      <c r="G988" s="5"/>
      <c r="J988" s="5"/>
      <c r="M988" s="5"/>
      <c r="P988" s="5"/>
      <c r="S988" s="5"/>
      <c r="V988" s="5"/>
    </row>
    <row r="989" ht="15.75" customHeight="1">
      <c r="C989" s="5"/>
      <c r="F989" s="5"/>
      <c r="G989" s="5"/>
      <c r="J989" s="5"/>
      <c r="M989" s="5"/>
      <c r="P989" s="5"/>
      <c r="S989" s="5"/>
      <c r="V989" s="5"/>
    </row>
    <row r="990" ht="15.75" customHeight="1">
      <c r="C990" s="5"/>
      <c r="F990" s="5"/>
      <c r="G990" s="5"/>
      <c r="J990" s="5"/>
      <c r="M990" s="5"/>
      <c r="P990" s="5"/>
      <c r="S990" s="5"/>
      <c r="V990" s="5"/>
    </row>
    <row r="991" ht="15.75" customHeight="1">
      <c r="C991" s="5"/>
      <c r="F991" s="5"/>
      <c r="G991" s="5"/>
      <c r="J991" s="5"/>
      <c r="M991" s="5"/>
      <c r="P991" s="5"/>
      <c r="S991" s="5"/>
      <c r="V991" s="5"/>
    </row>
    <row r="992" ht="15.75" customHeight="1">
      <c r="C992" s="5"/>
      <c r="F992" s="5"/>
      <c r="G992" s="5"/>
      <c r="J992" s="5"/>
      <c r="M992" s="5"/>
      <c r="P992" s="5"/>
      <c r="S992" s="5"/>
      <c r="V992" s="5"/>
    </row>
    <row r="993" ht="15.75" customHeight="1">
      <c r="C993" s="5"/>
      <c r="F993" s="5"/>
      <c r="G993" s="5"/>
      <c r="J993" s="5"/>
      <c r="M993" s="5"/>
      <c r="P993" s="5"/>
      <c r="S993" s="5"/>
      <c r="V993" s="5"/>
    </row>
    <row r="994" ht="15.75" customHeight="1">
      <c r="C994" s="5"/>
      <c r="F994" s="5"/>
      <c r="G994" s="5"/>
      <c r="J994" s="5"/>
      <c r="M994" s="5"/>
      <c r="P994" s="5"/>
      <c r="S994" s="5"/>
      <c r="V994" s="5"/>
    </row>
    <row r="995" ht="15.75" customHeight="1">
      <c r="C995" s="5"/>
      <c r="F995" s="5"/>
      <c r="G995" s="5"/>
      <c r="J995" s="5"/>
      <c r="M995" s="5"/>
      <c r="P995" s="5"/>
      <c r="S995" s="5"/>
      <c r="V995" s="5"/>
    </row>
    <row r="996" ht="15.75" customHeight="1">
      <c r="C996" s="5"/>
      <c r="F996" s="5"/>
      <c r="G996" s="5"/>
      <c r="J996" s="5"/>
      <c r="M996" s="5"/>
      <c r="P996" s="5"/>
      <c r="S996" s="5"/>
      <c r="V996" s="5"/>
    </row>
    <row r="997" ht="15.75" customHeight="1">
      <c r="C997" s="5"/>
      <c r="F997" s="5"/>
      <c r="G997" s="5"/>
      <c r="J997" s="5"/>
      <c r="M997" s="5"/>
      <c r="P997" s="5"/>
      <c r="S997" s="5"/>
      <c r="V997" s="5"/>
    </row>
    <row r="998" ht="15.75" customHeight="1">
      <c r="C998" s="5"/>
      <c r="F998" s="5"/>
      <c r="G998" s="5"/>
      <c r="J998" s="5"/>
      <c r="M998" s="5"/>
      <c r="P998" s="5"/>
      <c r="S998" s="5"/>
      <c r="V998" s="5"/>
    </row>
    <row r="999" ht="15.75" customHeight="1">
      <c r="C999" s="5"/>
      <c r="F999" s="5"/>
      <c r="G999" s="5"/>
      <c r="J999" s="5"/>
      <c r="M999" s="5"/>
      <c r="P999" s="5"/>
      <c r="S999" s="5"/>
      <c r="V999" s="5"/>
    </row>
    <row r="1000" ht="15.75" customHeight="1">
      <c r="C1000" s="5"/>
      <c r="F1000" s="5"/>
      <c r="G1000" s="5"/>
      <c r="J1000" s="5"/>
      <c r="M1000" s="5"/>
      <c r="P1000" s="5"/>
      <c r="S1000" s="5"/>
      <c r="V1000" s="5"/>
    </row>
  </sheetData>
  <mergeCells count="1">
    <mergeCell ref="A1:B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8.14"/>
    <col customWidth="1" min="3" max="26" width="8.86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3"/>
      <c r="B2" s="7" t="s">
        <v>5</v>
      </c>
      <c r="C2" s="9" t="s">
        <v>6</v>
      </c>
      <c r="D2" s="9" t="s">
        <v>9</v>
      </c>
      <c r="E2" s="9" t="s">
        <v>11</v>
      </c>
      <c r="F2" s="9" t="s">
        <v>12</v>
      </c>
      <c r="G2" s="9" t="s">
        <v>14</v>
      </c>
      <c r="H2" s="9" t="s">
        <v>17</v>
      </c>
      <c r="I2" s="9" t="s">
        <v>19</v>
      </c>
      <c r="J2" s="9" t="s">
        <v>21</v>
      </c>
      <c r="K2" s="9" t="s">
        <v>22</v>
      </c>
      <c r="L2" s="9" t="s">
        <v>23</v>
      </c>
      <c r="M2" s="9" t="s">
        <v>24</v>
      </c>
      <c r="N2" s="9" t="s">
        <v>25</v>
      </c>
      <c r="O2" s="3"/>
    </row>
    <row r="3">
      <c r="A3" s="3"/>
      <c r="B3" s="3" t="s">
        <v>26</v>
      </c>
      <c r="C3" s="21">
        <v>0.06532946065879564</v>
      </c>
      <c r="D3" s="23">
        <v>0.15325756816840339</v>
      </c>
      <c r="E3" s="23">
        <v>0.0850582752096543</v>
      </c>
      <c r="F3" s="23">
        <v>0.12038896615650055</v>
      </c>
      <c r="G3" s="23">
        <v>0.04510232566504375</v>
      </c>
      <c r="H3" s="23">
        <v>0.06558746100743944</v>
      </c>
      <c r="I3" s="23">
        <v>0.11180468565518979</v>
      </c>
      <c r="J3" s="23">
        <v>0.036658356771525576</v>
      </c>
      <c r="K3" s="23">
        <v>0.048706643292590564</v>
      </c>
      <c r="L3" s="23">
        <v>0.02739644941050072</v>
      </c>
      <c r="M3" s="23">
        <v>0.03495775032814375</v>
      </c>
      <c r="N3" s="23">
        <v>0.04394493215928834</v>
      </c>
      <c r="O3" s="3"/>
    </row>
    <row r="4">
      <c r="A4" s="3"/>
      <c r="B4" s="3" t="s">
        <v>30</v>
      </c>
      <c r="C4" s="30">
        <v>0.55646408839779</v>
      </c>
      <c r="D4" s="31">
        <v>0.6685638824694619</v>
      </c>
      <c r="E4" s="31">
        <v>0.6424797793258217</v>
      </c>
      <c r="F4" s="31">
        <v>0.7017336485421591</v>
      </c>
      <c r="G4" s="31">
        <v>0.6551554777910796</v>
      </c>
      <c r="H4" s="31">
        <v>0.5073633245914868</v>
      </c>
      <c r="I4" s="31">
        <v>0.4656374501992032</v>
      </c>
      <c r="J4" s="31">
        <v>0.7702655398309746</v>
      </c>
      <c r="K4" s="31">
        <v>0.4111037673496365</v>
      </c>
      <c r="L4" s="31">
        <v>0.5924164886972639</v>
      </c>
      <c r="M4" s="31">
        <v>0.695065607096655</v>
      </c>
      <c r="N4" s="31">
        <v>0.6340727272727272</v>
      </c>
      <c r="O4" s="3"/>
    </row>
    <row r="5">
      <c r="A5" s="3"/>
      <c r="B5" s="3" t="s">
        <v>37</v>
      </c>
      <c r="C5" s="30">
        <v>0.2570902394106814</v>
      </c>
      <c r="D5" s="31">
        <v>0.3189963684384285</v>
      </c>
      <c r="E5" s="31">
        <v>0.2710739164991351</v>
      </c>
      <c r="F5" s="31">
        <v>0.29069477278697137</v>
      </c>
      <c r="G5" s="31">
        <v>0.28461798201184885</v>
      </c>
      <c r="H5" s="31">
        <v>0.35384305023199514</v>
      </c>
      <c r="I5" s="31">
        <v>0.15853253652058433</v>
      </c>
      <c r="J5" s="31">
        <v>0.32343184811054987</v>
      </c>
      <c r="K5" s="31">
        <v>0.2553347181569257</v>
      </c>
      <c r="L5" s="31">
        <v>0.3130515372526897</v>
      </c>
      <c r="M5" s="31">
        <v>0.3590255960081316</v>
      </c>
      <c r="N5" s="31">
        <v>0.5066727272727273</v>
      </c>
      <c r="O5" s="3"/>
    </row>
    <row r="6">
      <c r="A6" s="3"/>
      <c r="B6" s="3" t="s">
        <v>45</v>
      </c>
      <c r="C6" s="30">
        <v>0.17736034376918355</v>
      </c>
      <c r="D6" s="31">
        <v>0.2591878507758336</v>
      </c>
      <c r="E6" s="31">
        <v>0.2140352517649259</v>
      </c>
      <c r="F6" s="31">
        <v>0.21005384817441553</v>
      </c>
      <c r="G6" s="31">
        <v>0.20367130183872056</v>
      </c>
      <c r="H6" s="31">
        <v>0.23850110954206172</v>
      </c>
      <c r="I6" s="31">
        <v>0.041500664010624175</v>
      </c>
      <c r="J6" s="31">
        <v>0.29331066326615657</v>
      </c>
      <c r="K6" s="31">
        <v>0.1769898970824285</v>
      </c>
      <c r="L6" s="31">
        <v>0.22387879276302536</v>
      </c>
      <c r="M6" s="31">
        <v>0.2750646830530401</v>
      </c>
      <c r="N6" s="31">
        <v>0.3518363636363636</v>
      </c>
      <c r="O6" s="3"/>
    </row>
    <row r="7">
      <c r="A7" s="3"/>
      <c r="B7" s="3" t="s">
        <v>53</v>
      </c>
      <c r="C7" s="30">
        <v>0.1939840392879067</v>
      </c>
      <c r="D7" s="31">
        <v>0.21955760977220204</v>
      </c>
      <c r="E7" s="31">
        <v>0.1596615082519052</v>
      </c>
      <c r="F7" s="31">
        <v>0.1728395061728395</v>
      </c>
      <c r="G7" s="31">
        <v>0.21174448230346563</v>
      </c>
      <c r="H7" s="31">
        <v>0.19891063143030058</v>
      </c>
      <c r="I7" s="31">
        <v>0.25763612217795484</v>
      </c>
      <c r="J7" s="31">
        <v>0.14428830991315364</v>
      </c>
      <c r="K7" s="31">
        <v>0.2206590501369087</v>
      </c>
      <c r="L7" s="31">
        <v>0.25978160132167466</v>
      </c>
      <c r="M7" s="31">
        <v>0.28462853446682684</v>
      </c>
      <c r="N7" s="31">
        <v>0.33887272727272727</v>
      </c>
      <c r="O7" s="3"/>
    </row>
    <row r="8">
      <c r="A8" s="3"/>
      <c r="B8" s="3" t="s">
        <v>55</v>
      </c>
      <c r="C8" s="30">
        <v>0.12422344996930633</v>
      </c>
      <c r="D8" s="31">
        <v>0.09898976559920766</v>
      </c>
      <c r="E8" s="31">
        <v>0.14661742016924587</v>
      </c>
      <c r="F8" s="31">
        <v>0.11767796164959285</v>
      </c>
      <c r="G8" s="31">
        <v>0.15962181907480738</v>
      </c>
      <c r="H8" s="31">
        <v>0.10666733911640106</v>
      </c>
      <c r="I8" s="31">
        <v>0.12898406374501992</v>
      </c>
      <c r="J8" s="31">
        <v>0.10714940574419494</v>
      </c>
      <c r="K8" s="31">
        <v>0.16351147200453214</v>
      </c>
      <c r="L8" s="31">
        <v>0.23294515856066406</v>
      </c>
      <c r="M8" s="31">
        <v>0.21077434854925153</v>
      </c>
      <c r="N8" s="31">
        <v>0.4011272727272727</v>
      </c>
      <c r="O8" s="3"/>
    </row>
    <row r="9">
      <c r="A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>
      <c r="A10" s="3"/>
      <c r="B10" s="7" t="s">
        <v>5</v>
      </c>
      <c r="C10" s="9" t="s">
        <v>23</v>
      </c>
      <c r="D10" s="9" t="s">
        <v>24</v>
      </c>
      <c r="E10" s="9" t="s">
        <v>21</v>
      </c>
      <c r="F10" s="9" t="s">
        <v>25</v>
      </c>
      <c r="G10" s="9" t="s">
        <v>14</v>
      </c>
      <c r="H10" s="9" t="s">
        <v>22</v>
      </c>
      <c r="I10" s="9" t="s">
        <v>6</v>
      </c>
      <c r="J10" s="9" t="s">
        <v>17</v>
      </c>
      <c r="K10" s="9" t="s">
        <v>11</v>
      </c>
      <c r="L10" s="9" t="s">
        <v>19</v>
      </c>
      <c r="M10" s="9" t="s">
        <v>12</v>
      </c>
      <c r="N10" s="9" t="s">
        <v>9</v>
      </c>
      <c r="O10" s="3"/>
    </row>
    <row r="11">
      <c r="A11" s="3"/>
      <c r="B11" s="3" t="s">
        <v>26</v>
      </c>
      <c r="C11" s="23">
        <v>0.02739644941050072</v>
      </c>
      <c r="D11" s="23">
        <v>0.03495775032814375</v>
      </c>
      <c r="E11" s="23">
        <v>0.036658356771525576</v>
      </c>
      <c r="F11" s="60">
        <v>0.04394493215928834</v>
      </c>
      <c r="G11" s="60">
        <v>0.04510232566504375</v>
      </c>
      <c r="H11" s="60">
        <v>0.048706643292590564</v>
      </c>
      <c r="I11" s="21">
        <v>0.06532946065879564</v>
      </c>
      <c r="J11" s="60">
        <v>0.06558746100743944</v>
      </c>
      <c r="K11" s="60">
        <v>0.0850582752096543</v>
      </c>
      <c r="L11" s="23">
        <v>0.11180468565518979</v>
      </c>
      <c r="M11" s="23">
        <v>0.12038896615650055</v>
      </c>
      <c r="N11" s="23">
        <v>0.15325756816840339</v>
      </c>
      <c r="O11" s="3"/>
    </row>
    <row r="12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O12" s="3"/>
    </row>
    <row r="13">
      <c r="A13" s="3"/>
      <c r="B13" s="7" t="s">
        <v>5</v>
      </c>
      <c r="C13" s="9" t="s">
        <v>22</v>
      </c>
      <c r="D13" s="9" t="s">
        <v>19</v>
      </c>
      <c r="E13" s="9" t="s">
        <v>17</v>
      </c>
      <c r="F13" s="9" t="s">
        <v>6</v>
      </c>
      <c r="G13" s="9" t="s">
        <v>23</v>
      </c>
      <c r="H13" s="9" t="s">
        <v>25</v>
      </c>
      <c r="I13" s="9" t="s">
        <v>11</v>
      </c>
      <c r="J13" s="9" t="s">
        <v>14</v>
      </c>
      <c r="K13" s="9" t="s">
        <v>9</v>
      </c>
      <c r="L13" s="9" t="s">
        <v>24</v>
      </c>
      <c r="M13" s="9" t="s">
        <v>12</v>
      </c>
      <c r="N13" s="9" t="s">
        <v>21</v>
      </c>
      <c r="O13" s="3"/>
    </row>
    <row r="14">
      <c r="A14" s="3"/>
      <c r="B14" s="3" t="s">
        <v>30</v>
      </c>
      <c r="C14" s="31">
        <v>0.4111037673496365</v>
      </c>
      <c r="D14" s="70">
        <v>0.4656374501992032</v>
      </c>
      <c r="E14" s="70">
        <v>0.5073633245914868</v>
      </c>
      <c r="F14" s="30">
        <v>0.55646408839779</v>
      </c>
      <c r="G14" s="70">
        <v>0.5924164886972639</v>
      </c>
      <c r="H14" s="70">
        <v>0.6340727272727272</v>
      </c>
      <c r="I14" s="31">
        <v>0.6424797793258217</v>
      </c>
      <c r="J14" s="31">
        <v>0.6551554777910796</v>
      </c>
      <c r="K14" s="31">
        <v>0.6685638824694619</v>
      </c>
      <c r="L14" s="31">
        <v>0.695065607096655</v>
      </c>
      <c r="M14" s="31">
        <v>0.7017336485421591</v>
      </c>
      <c r="N14" s="31">
        <v>0.7702655398309746</v>
      </c>
      <c r="O14" s="3"/>
    </row>
    <row r="15">
      <c r="A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3"/>
    </row>
    <row r="16">
      <c r="A16" s="3"/>
      <c r="B16" s="7" t="s">
        <v>5</v>
      </c>
      <c r="C16" s="9" t="s">
        <v>19</v>
      </c>
      <c r="D16" s="9" t="s">
        <v>22</v>
      </c>
      <c r="E16" s="9" t="s">
        <v>6</v>
      </c>
      <c r="F16" s="9" t="s">
        <v>11</v>
      </c>
      <c r="G16" s="9" t="s">
        <v>14</v>
      </c>
      <c r="H16" s="9" t="s">
        <v>12</v>
      </c>
      <c r="I16" s="9" t="s">
        <v>23</v>
      </c>
      <c r="J16" s="9" t="s">
        <v>9</v>
      </c>
      <c r="K16" s="9" t="s">
        <v>21</v>
      </c>
      <c r="L16" s="9" t="s">
        <v>17</v>
      </c>
      <c r="M16" s="9" t="s">
        <v>24</v>
      </c>
      <c r="N16" s="9" t="s">
        <v>25</v>
      </c>
      <c r="O16" s="3"/>
    </row>
    <row r="17">
      <c r="A17" s="3"/>
      <c r="B17" s="3" t="s">
        <v>37</v>
      </c>
      <c r="C17" s="31">
        <v>0.15853253652058433</v>
      </c>
      <c r="D17" s="70">
        <v>0.2553347181569257</v>
      </c>
      <c r="E17" s="30">
        <v>0.2570902394106814</v>
      </c>
      <c r="F17" s="70">
        <v>0.2710739164991351</v>
      </c>
      <c r="G17" s="70">
        <v>0.28461798201184885</v>
      </c>
      <c r="H17" s="70">
        <v>0.29069477278697137</v>
      </c>
      <c r="I17" s="31">
        <v>0.3130515372526897</v>
      </c>
      <c r="J17" s="31">
        <v>0.3189963684384285</v>
      </c>
      <c r="K17" s="31">
        <v>0.32343184811054987</v>
      </c>
      <c r="L17" s="31">
        <v>0.35384305023199514</v>
      </c>
      <c r="M17" s="31">
        <v>0.3590255960081316</v>
      </c>
      <c r="N17" s="31">
        <v>0.5066727272727273</v>
      </c>
      <c r="O17" s="3"/>
    </row>
    <row r="18">
      <c r="A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</row>
    <row r="19">
      <c r="A19" s="3"/>
      <c r="B19" s="7" t="s">
        <v>5</v>
      </c>
      <c r="C19" s="9" t="s">
        <v>19</v>
      </c>
      <c r="D19" s="9" t="s">
        <v>22</v>
      </c>
      <c r="E19" s="9" t="s">
        <v>6</v>
      </c>
      <c r="F19" s="9" t="s">
        <v>14</v>
      </c>
      <c r="G19" s="9" t="s">
        <v>12</v>
      </c>
      <c r="H19" s="9" t="s">
        <v>11</v>
      </c>
      <c r="I19" s="9" t="s">
        <v>23</v>
      </c>
      <c r="J19" s="9" t="s">
        <v>17</v>
      </c>
      <c r="K19" s="9" t="s">
        <v>9</v>
      </c>
      <c r="L19" s="9" t="s">
        <v>24</v>
      </c>
      <c r="M19" s="9" t="s">
        <v>21</v>
      </c>
      <c r="N19" s="9" t="s">
        <v>25</v>
      </c>
      <c r="O19" s="3"/>
    </row>
    <row r="20">
      <c r="A20" s="3"/>
      <c r="B20" s="3" t="s">
        <v>45</v>
      </c>
      <c r="C20" s="31">
        <v>0.041500664010624175</v>
      </c>
      <c r="D20" s="70">
        <v>0.1769898970824285</v>
      </c>
      <c r="E20" s="30">
        <v>0.17736034376918355</v>
      </c>
      <c r="F20" s="70">
        <v>0.20367130183872056</v>
      </c>
      <c r="G20" s="70">
        <v>0.21005384817441553</v>
      </c>
      <c r="H20" s="70">
        <v>0.2140352517649259</v>
      </c>
      <c r="I20" s="70">
        <v>0.22387879276302536</v>
      </c>
      <c r="J20" s="31">
        <v>0.23850110954206172</v>
      </c>
      <c r="K20" s="31">
        <v>0.2591878507758336</v>
      </c>
      <c r="L20" s="31">
        <v>0.2750646830530401</v>
      </c>
      <c r="M20" s="31">
        <v>0.29331066326615657</v>
      </c>
      <c r="N20" s="31">
        <v>0.3518363636363636</v>
      </c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7" t="s">
        <v>5</v>
      </c>
      <c r="C22" s="9" t="s">
        <v>21</v>
      </c>
      <c r="D22" s="9" t="s">
        <v>11</v>
      </c>
      <c r="E22" s="9" t="s">
        <v>12</v>
      </c>
      <c r="F22" s="9" t="s">
        <v>6</v>
      </c>
      <c r="G22" s="9" t="s">
        <v>17</v>
      </c>
      <c r="H22" s="9" t="s">
        <v>14</v>
      </c>
      <c r="I22" s="9" t="s">
        <v>9</v>
      </c>
      <c r="J22" s="9" t="s">
        <v>22</v>
      </c>
      <c r="K22" s="9" t="s">
        <v>19</v>
      </c>
      <c r="L22" s="9" t="s">
        <v>23</v>
      </c>
      <c r="M22" s="9" t="s">
        <v>24</v>
      </c>
      <c r="N22" s="9" t="s">
        <v>25</v>
      </c>
      <c r="O22" s="3"/>
    </row>
    <row r="23" ht="15.75" customHeight="1">
      <c r="A23" s="3"/>
      <c r="B23" s="3" t="s">
        <v>53</v>
      </c>
      <c r="C23" s="31">
        <v>0.14428830991315364</v>
      </c>
      <c r="D23" s="70">
        <v>0.1596615082519052</v>
      </c>
      <c r="E23" s="70">
        <v>0.1728395061728395</v>
      </c>
      <c r="F23" s="30">
        <v>0.1939840392879067</v>
      </c>
      <c r="G23" s="70">
        <v>0.19891063143030058</v>
      </c>
      <c r="H23" s="70">
        <v>0.21174448230346563</v>
      </c>
      <c r="I23" s="70">
        <v>0.21955760977220204</v>
      </c>
      <c r="J23" s="31">
        <v>0.2206590501369087</v>
      </c>
      <c r="K23" s="31">
        <v>0.25763612217795484</v>
      </c>
      <c r="L23" s="31">
        <v>0.25978160132167466</v>
      </c>
      <c r="M23" s="31">
        <v>0.28462853446682684</v>
      </c>
      <c r="N23" s="31">
        <v>0.33887272727272727</v>
      </c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7" t="s">
        <v>5</v>
      </c>
      <c r="C25" s="9" t="s">
        <v>9</v>
      </c>
      <c r="D25" s="9" t="s">
        <v>17</v>
      </c>
      <c r="E25" s="9" t="s">
        <v>21</v>
      </c>
      <c r="F25" s="9" t="s">
        <v>12</v>
      </c>
      <c r="G25" s="9" t="s">
        <v>6</v>
      </c>
      <c r="H25" s="9" t="s">
        <v>19</v>
      </c>
      <c r="I25" s="9" t="s">
        <v>11</v>
      </c>
      <c r="J25" s="9" t="s">
        <v>14</v>
      </c>
      <c r="K25" s="9" t="s">
        <v>22</v>
      </c>
      <c r="L25" s="9" t="s">
        <v>24</v>
      </c>
      <c r="M25" s="9" t="s">
        <v>23</v>
      </c>
      <c r="N25" s="9" t="s">
        <v>25</v>
      </c>
      <c r="O25" s="3"/>
    </row>
    <row r="26" ht="15.75" customHeight="1">
      <c r="A26" s="3"/>
      <c r="B26" s="3" t="s">
        <v>55</v>
      </c>
      <c r="C26" s="70">
        <v>0.09898976559920766</v>
      </c>
      <c r="D26" s="70">
        <v>0.10666733911640106</v>
      </c>
      <c r="E26" s="70">
        <v>0.10714940574419494</v>
      </c>
      <c r="F26" s="70">
        <v>0.11767796164959285</v>
      </c>
      <c r="G26" s="30">
        <v>0.12422344996930633</v>
      </c>
      <c r="H26" s="70">
        <v>0.12898406374501992</v>
      </c>
      <c r="I26" s="70">
        <v>0.14661742016924587</v>
      </c>
      <c r="J26" s="70">
        <v>0.15962181907480738</v>
      </c>
      <c r="K26" s="70">
        <v>0.16351147200453214</v>
      </c>
      <c r="L26" s="31">
        <v>0.21077434854925153</v>
      </c>
      <c r="M26" s="31">
        <v>0.23294515856066406</v>
      </c>
      <c r="N26" s="31">
        <v>0.4011272727272727</v>
      </c>
      <c r="O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customHeight="1">
      <c r="A28" s="3"/>
      <c r="B28" s="9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75" customHeight="1">
      <c r="A29" s="3"/>
      <c r="B29" s="9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75" customHeight="1">
      <c r="A30" s="3"/>
      <c r="B30" s="98"/>
      <c r="L30" s="98"/>
      <c r="O30" s="3"/>
    </row>
    <row r="31" ht="15.75" customHeight="1">
      <c r="A31" s="3"/>
      <c r="B31" s="98"/>
      <c r="L31" s="98"/>
      <c r="O31" s="3"/>
    </row>
    <row r="32" ht="15.75" customHeight="1">
      <c r="A32" s="3"/>
      <c r="B32" s="98"/>
      <c r="O32" s="3"/>
    </row>
    <row r="33" ht="15.75" customHeight="1">
      <c r="A33" s="3"/>
      <c r="B33" s="98"/>
      <c r="C33" s="98" t="s">
        <v>24</v>
      </c>
      <c r="D33" s="98" t="s">
        <v>21</v>
      </c>
      <c r="E33" s="98" t="s">
        <v>9</v>
      </c>
      <c r="F33" s="98" t="s">
        <v>19</v>
      </c>
      <c r="G33" s="98" t="s">
        <v>23</v>
      </c>
      <c r="H33" s="98" t="s">
        <v>25</v>
      </c>
      <c r="I33" s="98" t="s">
        <v>12</v>
      </c>
      <c r="J33" s="98" t="s">
        <v>17</v>
      </c>
      <c r="K33" s="98" t="s">
        <v>22</v>
      </c>
      <c r="L33" s="98" t="s">
        <v>11</v>
      </c>
      <c r="M33" s="98" t="s">
        <v>14</v>
      </c>
      <c r="O33" s="3"/>
    </row>
    <row r="34" ht="15.75" customHeight="1">
      <c r="A34" s="3"/>
      <c r="B34" s="98"/>
      <c r="C34" s="64">
        <v>0.0</v>
      </c>
      <c r="D34" s="64">
        <v>1.0</v>
      </c>
      <c r="E34" s="64">
        <v>2.0</v>
      </c>
      <c r="F34" s="64">
        <v>2.0</v>
      </c>
      <c r="G34" s="64">
        <v>2.0</v>
      </c>
      <c r="H34" s="64">
        <v>2.0</v>
      </c>
      <c r="I34" s="99">
        <v>4.0</v>
      </c>
      <c r="J34" s="99">
        <v>4.0</v>
      </c>
      <c r="K34" s="99">
        <v>4.0</v>
      </c>
      <c r="L34" s="99">
        <v>5.0</v>
      </c>
      <c r="M34" s="99">
        <v>5.0</v>
      </c>
    </row>
    <row r="35" ht="15.75" customHeight="1">
      <c r="A35" s="3"/>
      <c r="B35" s="98"/>
    </row>
    <row r="36" ht="15.75" customHeight="1">
      <c r="A36" s="3"/>
      <c r="B36" s="98"/>
    </row>
    <row r="37" ht="15.75" customHeight="1">
      <c r="A37" s="3"/>
      <c r="B37" s="98"/>
    </row>
    <row r="38" ht="15.75" customHeight="1">
      <c r="A38" s="3"/>
      <c r="B38" s="98"/>
    </row>
    <row r="39" ht="15.75" customHeight="1">
      <c r="A39" s="3"/>
      <c r="B39" s="98"/>
    </row>
    <row r="40" ht="15.75" customHeight="1">
      <c r="A40" s="3"/>
    </row>
    <row r="41" ht="15.75" customHeight="1">
      <c r="A41" s="3"/>
      <c r="C41" s="98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conditionalFormatting sqref="I29:I31 I35:I39">
    <cfRule type="colorScale" priority="1">
      <colorScale>
        <cfvo type="min"/>
        <cfvo type="max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6.86"/>
    <col customWidth="1" min="2" max="2" width="10.43"/>
    <col customWidth="1" min="3" max="7" width="8.86"/>
    <col customWidth="1" min="8" max="8" width="11.29"/>
    <col customWidth="1" min="9" max="9" width="8.86"/>
    <col customWidth="1" min="10" max="10" width="17.71"/>
    <col customWidth="1" min="11" max="11" width="17.57"/>
    <col customWidth="1" min="12" max="12" width="8.86"/>
    <col customWidth="1" min="13" max="13" width="14.43"/>
    <col customWidth="1" min="14" max="14" width="13.43"/>
    <col customWidth="1" min="15" max="15" width="10.86"/>
    <col customWidth="1" min="16" max="16" width="12.71"/>
    <col customWidth="1" min="17" max="26" width="8.86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</row>
    <row r="2">
      <c r="A2" s="3"/>
      <c r="B2" s="8"/>
      <c r="C2" s="10" t="s">
        <v>7</v>
      </c>
      <c r="D2" s="11" t="s">
        <v>10</v>
      </c>
      <c r="E2" s="11" t="s">
        <v>13</v>
      </c>
      <c r="F2" s="11" t="s">
        <v>15</v>
      </c>
      <c r="G2" s="11" t="s">
        <v>16</v>
      </c>
      <c r="H2" s="11" t="s">
        <v>18</v>
      </c>
      <c r="I2" s="13" t="s">
        <v>20</v>
      </c>
      <c r="J2" s="3"/>
    </row>
    <row r="3">
      <c r="A3" s="3"/>
      <c r="B3" s="16" t="s">
        <v>11</v>
      </c>
      <c r="C3" s="17">
        <v>36.02</v>
      </c>
      <c r="D3" s="19">
        <v>6.89</v>
      </c>
      <c r="E3" s="19">
        <v>39.77</v>
      </c>
      <c r="F3" s="19">
        <v>48.45</v>
      </c>
      <c r="G3" s="19">
        <v>6.87</v>
      </c>
      <c r="H3" s="19">
        <v>27.05</v>
      </c>
      <c r="I3" s="22">
        <v>34.73</v>
      </c>
      <c r="J3" s="3"/>
    </row>
    <row r="4">
      <c r="A4" s="3"/>
      <c r="B4" s="16" t="s">
        <v>12</v>
      </c>
      <c r="C4" s="17">
        <v>48.43</v>
      </c>
      <c r="D4" s="19">
        <v>6.08</v>
      </c>
      <c r="E4" s="19">
        <v>46.89</v>
      </c>
      <c r="F4" s="19">
        <v>67.04</v>
      </c>
      <c r="G4" s="19">
        <v>8.68</v>
      </c>
      <c r="H4" s="19">
        <v>35.72</v>
      </c>
      <c r="I4" s="22">
        <v>53.47</v>
      </c>
      <c r="J4" s="3"/>
    </row>
    <row r="5">
      <c r="A5" s="3"/>
      <c r="B5" s="16" t="s">
        <v>14</v>
      </c>
      <c r="C5" s="17">
        <v>21.67</v>
      </c>
      <c r="D5" s="19">
        <v>2.41</v>
      </c>
      <c r="E5" s="19">
        <v>17.24</v>
      </c>
      <c r="F5" s="19">
        <v>23.14</v>
      </c>
      <c r="G5" s="19">
        <v>4.16</v>
      </c>
      <c r="H5" s="19">
        <v>17.41</v>
      </c>
      <c r="I5" s="22">
        <v>26.32</v>
      </c>
      <c r="J5" s="3"/>
    </row>
    <row r="6">
      <c r="A6" s="3"/>
      <c r="B6" s="16" t="s">
        <v>17</v>
      </c>
      <c r="C6" s="17">
        <v>19.56</v>
      </c>
      <c r="D6" s="19">
        <v>2.7</v>
      </c>
      <c r="E6" s="19">
        <v>17.77</v>
      </c>
      <c r="F6" s="19">
        <v>21.76</v>
      </c>
      <c r="G6" s="19">
        <v>4.23</v>
      </c>
      <c r="H6" s="19">
        <v>19.01</v>
      </c>
      <c r="I6" s="22">
        <v>39.48</v>
      </c>
      <c r="J6" s="3"/>
    </row>
    <row r="7">
      <c r="A7" s="3"/>
      <c r="B7" s="16" t="s">
        <v>22</v>
      </c>
      <c r="C7" s="17">
        <v>36.98</v>
      </c>
      <c r="D7" s="19">
        <v>4.94</v>
      </c>
      <c r="E7" s="19">
        <v>25.24</v>
      </c>
      <c r="F7" s="19">
        <v>29.64</v>
      </c>
      <c r="G7" s="19">
        <v>6.16</v>
      </c>
      <c r="H7" s="19">
        <v>24.79</v>
      </c>
      <c r="I7" s="22">
        <v>36.22</v>
      </c>
      <c r="J7" s="3"/>
      <c r="P7" s="39"/>
    </row>
    <row r="8">
      <c r="A8" s="3"/>
      <c r="B8" s="40" t="s">
        <v>43</v>
      </c>
      <c r="C8" s="44">
        <f t="shared" ref="C8:I8" si="1">AVERAGE(C3:C7)</f>
        <v>32.532</v>
      </c>
      <c r="D8" s="45">
        <f t="shared" si="1"/>
        <v>4.604</v>
      </c>
      <c r="E8" s="45">
        <f t="shared" si="1"/>
        <v>29.382</v>
      </c>
      <c r="F8" s="45">
        <f t="shared" si="1"/>
        <v>38.006</v>
      </c>
      <c r="G8" s="45">
        <f t="shared" si="1"/>
        <v>6.02</v>
      </c>
      <c r="H8" s="45">
        <f t="shared" si="1"/>
        <v>24.796</v>
      </c>
      <c r="I8" s="48">
        <f t="shared" si="1"/>
        <v>38.044</v>
      </c>
      <c r="J8" s="3"/>
    </row>
    <row r="9">
      <c r="A9" s="3"/>
      <c r="B9" s="16" t="s">
        <v>54</v>
      </c>
      <c r="C9" s="17">
        <f t="shared" ref="C9:I9" si="2">MEDIAN(C3:C7)</f>
        <v>36.02</v>
      </c>
      <c r="D9" s="19">
        <f t="shared" si="2"/>
        <v>4.94</v>
      </c>
      <c r="E9" s="19">
        <f t="shared" si="2"/>
        <v>25.24</v>
      </c>
      <c r="F9" s="19">
        <f t="shared" si="2"/>
        <v>29.64</v>
      </c>
      <c r="G9" s="19">
        <f t="shared" si="2"/>
        <v>6.16</v>
      </c>
      <c r="H9" s="19">
        <f t="shared" si="2"/>
        <v>24.79</v>
      </c>
      <c r="I9" s="22">
        <f t="shared" si="2"/>
        <v>36.22</v>
      </c>
      <c r="J9" s="3"/>
    </row>
    <row r="10">
      <c r="A10" s="3"/>
      <c r="B10" s="50" t="s">
        <v>57</v>
      </c>
      <c r="C10" s="52">
        <f t="shared" ref="C10:I10" si="3">ABS((C8-C9)/C8)</f>
        <v>0.1072175089</v>
      </c>
      <c r="D10" s="53">
        <f t="shared" si="3"/>
        <v>0.07298001738</v>
      </c>
      <c r="E10" s="54">
        <f t="shared" si="3"/>
        <v>0.1409706623</v>
      </c>
      <c r="F10" s="54">
        <f t="shared" si="3"/>
        <v>0.2201231385</v>
      </c>
      <c r="G10" s="54">
        <f t="shared" si="3"/>
        <v>0.02325581395</v>
      </c>
      <c r="H10" s="53">
        <f t="shared" si="3"/>
        <v>0.000241974512</v>
      </c>
      <c r="I10" s="55">
        <f t="shared" si="3"/>
        <v>0.04794448533</v>
      </c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4">
      <c r="A14" s="59" t="s">
        <v>61</v>
      </c>
      <c r="J14" s="59" t="s">
        <v>62</v>
      </c>
    </row>
    <row r="16">
      <c r="A16" s="62">
        <f>TODAY()</f>
        <v>46231</v>
      </c>
      <c r="B16" s="64" t="s">
        <v>64</v>
      </c>
      <c r="J16" s="2" t="s">
        <v>1</v>
      </c>
      <c r="K16" s="4"/>
    </row>
    <row r="17">
      <c r="A17" s="65">
        <v>45473.0</v>
      </c>
      <c r="B17" s="65">
        <v>45657.0</v>
      </c>
      <c r="C17" s="65">
        <v>46022.0</v>
      </c>
      <c r="J17" s="34"/>
      <c r="K17" s="66" t="s">
        <v>6</v>
      </c>
    </row>
    <row r="18">
      <c r="A18" s="67">
        <v>22.6</v>
      </c>
      <c r="B18" s="69">
        <v>23.44</v>
      </c>
      <c r="C18" s="69">
        <v>24.34</v>
      </c>
      <c r="D18" s="64" t="s">
        <v>66</v>
      </c>
      <c r="J18" s="34"/>
      <c r="K18" s="35" t="s">
        <v>35</v>
      </c>
    </row>
    <row r="19">
      <c r="A19" s="71">
        <f t="shared" ref="A19:C19" si="4">$D$9*A18</f>
        <v>111.644</v>
      </c>
      <c r="B19" s="71">
        <f t="shared" si="4"/>
        <v>115.7936</v>
      </c>
      <c r="C19" s="71">
        <f t="shared" si="4"/>
        <v>120.2396</v>
      </c>
      <c r="D19" s="64" t="s">
        <v>68</v>
      </c>
      <c r="J19" s="46" t="s">
        <v>50</v>
      </c>
      <c r="K19" s="35" t="s">
        <v>51</v>
      </c>
    </row>
    <row r="20">
      <c r="J20" s="46" t="s">
        <v>59</v>
      </c>
      <c r="K20" s="51">
        <v>44780.3</v>
      </c>
    </row>
    <row r="21" ht="15.75" customHeight="1">
      <c r="J21" s="61" t="s">
        <v>63</v>
      </c>
      <c r="K21" s="63">
        <v>46022.0</v>
      </c>
    </row>
    <row r="22" ht="15.75" customHeight="1">
      <c r="J22" s="61" t="s">
        <v>67</v>
      </c>
      <c r="K22" s="51">
        <v>40725.0</v>
      </c>
    </row>
    <row r="23" ht="15.75" customHeight="1">
      <c r="J23" s="61" t="s">
        <v>70</v>
      </c>
      <c r="K23" s="63">
        <v>45473.0</v>
      </c>
    </row>
    <row r="24" ht="15.75" customHeight="1">
      <c r="A24" s="3"/>
      <c r="B24" s="3"/>
      <c r="C24" s="3"/>
      <c r="J24" s="46" t="s">
        <v>71</v>
      </c>
      <c r="K24" s="51">
        <v>22662.0</v>
      </c>
    </row>
    <row r="25" ht="15.75" customHeight="1">
      <c r="A25" s="3"/>
      <c r="B25" s="3"/>
      <c r="C25" s="3"/>
      <c r="J25" s="46" t="s">
        <v>73</v>
      </c>
      <c r="K25" s="51">
        <v>10470.0</v>
      </c>
    </row>
    <row r="26" ht="15.75" customHeight="1">
      <c r="A26" s="72" t="s">
        <v>74</v>
      </c>
      <c r="B26" s="73" t="str">
        <f>D2</f>
        <v>P/BV</v>
      </c>
      <c r="C26" s="3"/>
      <c r="I26" s="3"/>
      <c r="J26" s="46" t="s">
        <v>75</v>
      </c>
      <c r="K26" s="51">
        <v>7223.0</v>
      </c>
      <c r="L26" s="3"/>
      <c r="M26" s="3"/>
    </row>
    <row r="27" ht="15.75" customHeight="1">
      <c r="A27" s="74" t="s">
        <v>76</v>
      </c>
      <c r="B27" s="75">
        <f>A18</f>
        <v>22.6</v>
      </c>
      <c r="C27" s="3"/>
      <c r="I27" s="3"/>
      <c r="J27" s="46" t="s">
        <v>77</v>
      </c>
      <c r="K27" s="51">
        <v>7900.0</v>
      </c>
      <c r="L27" s="3"/>
      <c r="M27" s="3"/>
    </row>
    <row r="28" ht="15.75" customHeight="1">
      <c r="A28" s="74" t="s">
        <v>78</v>
      </c>
      <c r="B28" s="76">
        <f>D9</f>
        <v>4.94</v>
      </c>
      <c r="C28" s="3"/>
      <c r="I28" s="3"/>
      <c r="J28" s="77" t="s">
        <v>79</v>
      </c>
      <c r="K28" s="78">
        <v>5059.0</v>
      </c>
      <c r="L28" s="3"/>
      <c r="M28" s="3"/>
    </row>
    <row r="29" ht="15.75" customHeight="1">
      <c r="A29" s="79" t="s">
        <v>81</v>
      </c>
      <c r="B29" s="80">
        <f>B27*B28</f>
        <v>111.644</v>
      </c>
      <c r="C29" s="3"/>
      <c r="I29" s="3"/>
      <c r="J29" s="3"/>
      <c r="K29" s="3"/>
      <c r="L29" s="3"/>
      <c r="M29" s="3"/>
    </row>
    <row r="30" ht="15.75" customHeight="1">
      <c r="A30" s="3"/>
      <c r="B30" s="3"/>
      <c r="C30" s="3"/>
      <c r="I30" s="3"/>
      <c r="J30" s="81" t="s">
        <v>82</v>
      </c>
      <c r="K30" s="82" t="s">
        <v>18</v>
      </c>
      <c r="L30" s="3"/>
      <c r="M30" s="3"/>
    </row>
    <row r="31" ht="15.75" customHeight="1">
      <c r="A31" s="3"/>
      <c r="B31" s="3"/>
      <c r="C31" s="3"/>
      <c r="I31" s="3"/>
      <c r="J31" s="74"/>
      <c r="K31" s="83"/>
      <c r="L31" s="3"/>
      <c r="M31" s="85" t="s">
        <v>3</v>
      </c>
    </row>
    <row r="32" ht="15.75" customHeight="1">
      <c r="A32" s="3"/>
      <c r="B32" s="3"/>
      <c r="C32" s="3"/>
      <c r="I32" s="3"/>
      <c r="J32" s="74" t="s">
        <v>84</v>
      </c>
      <c r="K32" s="86">
        <f>K25</f>
        <v>10470</v>
      </c>
      <c r="L32" s="3"/>
      <c r="M32" s="3"/>
    </row>
    <row r="33" ht="15.75" customHeight="1">
      <c r="I33" s="3"/>
      <c r="J33" s="87" t="s">
        <v>78</v>
      </c>
      <c r="K33" s="88">
        <v>24.8</v>
      </c>
      <c r="L33" s="3"/>
      <c r="M33" s="3"/>
      <c r="N33" s="58"/>
    </row>
    <row r="34" ht="15.75" customHeight="1">
      <c r="I34" s="3"/>
      <c r="J34" s="74"/>
      <c r="K34" s="83"/>
      <c r="L34" s="3"/>
      <c r="M34" s="3"/>
      <c r="N34" s="89"/>
    </row>
    <row r="35" ht="15.75" customHeight="1">
      <c r="I35" s="3"/>
      <c r="J35" s="90" t="s">
        <v>86</v>
      </c>
      <c r="K35" s="91">
        <f>K32*K33</f>
        <v>259656</v>
      </c>
      <c r="L35" s="3"/>
      <c r="M35" s="3"/>
    </row>
    <row r="36" ht="15.75" customHeight="1">
      <c r="I36" s="3"/>
      <c r="J36" s="74" t="s">
        <v>87</v>
      </c>
      <c r="K36" s="91">
        <v>14754.0</v>
      </c>
      <c r="L36" s="3"/>
      <c r="M36" s="3"/>
    </row>
    <row r="37" ht="15.75" customHeight="1">
      <c r="I37" s="3"/>
      <c r="J37" s="74" t="s">
        <v>89</v>
      </c>
      <c r="K37" s="91">
        <v>0.0</v>
      </c>
      <c r="L37" s="3"/>
      <c r="M37" s="3"/>
    </row>
    <row r="38" ht="15.75" customHeight="1">
      <c r="I38" s="3"/>
      <c r="J38" s="74" t="s">
        <v>90</v>
      </c>
      <c r="K38" s="91">
        <v>242.0</v>
      </c>
      <c r="L38" s="3"/>
      <c r="M38" s="3"/>
    </row>
    <row r="39" ht="15.75" customHeight="1">
      <c r="I39" s="3"/>
      <c r="J39" s="74" t="s">
        <v>91</v>
      </c>
      <c r="K39" s="91">
        <v>7547.0</v>
      </c>
      <c r="L39" s="3"/>
      <c r="M39" s="3"/>
    </row>
    <row r="40" ht="15.75" customHeight="1">
      <c r="I40" s="3"/>
      <c r="J40" s="74"/>
      <c r="K40" s="92"/>
      <c r="L40" s="3"/>
      <c r="M40" s="3"/>
    </row>
    <row r="41" ht="15.75" customHeight="1">
      <c r="I41" s="3"/>
      <c r="J41" s="90" t="s">
        <v>93</v>
      </c>
      <c r="K41" s="94">
        <f>K35-K36-K37-K38+K39</f>
        <v>252207</v>
      </c>
      <c r="L41" s="3"/>
      <c r="M41" s="3"/>
    </row>
    <row r="42" ht="15.75" customHeight="1">
      <c r="I42" s="3"/>
      <c r="J42" s="74"/>
      <c r="K42" s="83"/>
      <c r="L42" s="3"/>
      <c r="M42" s="3"/>
    </row>
    <row r="43" ht="15.75" customHeight="1">
      <c r="I43" s="3"/>
      <c r="J43" s="74" t="s">
        <v>94</v>
      </c>
      <c r="K43" s="83">
        <v>1739.9</v>
      </c>
      <c r="L43" s="3"/>
      <c r="M43" s="3"/>
    </row>
    <row r="44" ht="15.75" customHeight="1">
      <c r="I44" s="3"/>
      <c r="J44" s="74"/>
      <c r="K44" s="83"/>
      <c r="L44" s="3"/>
      <c r="M44" s="3"/>
    </row>
    <row r="45" ht="15.75" customHeight="1">
      <c r="I45" s="3"/>
      <c r="J45" s="79" t="s">
        <v>81</v>
      </c>
      <c r="K45" s="95">
        <f>K41/K43</f>
        <v>144.9548825</v>
      </c>
      <c r="L45" s="3"/>
      <c r="M45" s="3"/>
    </row>
    <row r="46" ht="15.75" customHeight="1">
      <c r="J46" s="3"/>
      <c r="K46" s="3"/>
    </row>
    <row r="47" ht="15.75" customHeight="1">
      <c r="J47" s="3"/>
      <c r="K47" s="3"/>
    </row>
    <row r="48" ht="15.75" customHeight="1"/>
    <row r="49" ht="15.75" customHeight="1"/>
    <row r="50" ht="15.75" customHeight="1"/>
    <row r="51" ht="15.75" customHeight="1"/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6:K16"/>
  </mergeCells>
  <printOptions/>
  <pageMargins bottom="0.75" footer="0.0" header="0.0" left="0.25" right="0.2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6.86"/>
    <col customWidth="1" min="3" max="7" width="11.14"/>
    <col customWidth="1" min="8" max="8" width="12.29"/>
    <col customWidth="1" min="9" max="26" width="8.86"/>
  </cols>
  <sheetData>
    <row r="1">
      <c r="A1" s="3"/>
      <c r="B1" s="3" t="s">
        <v>2</v>
      </c>
      <c r="C1" s="3"/>
      <c r="D1" s="3"/>
      <c r="E1" s="3"/>
      <c r="F1" s="3"/>
      <c r="G1" s="3"/>
      <c r="H1" s="3"/>
      <c r="I1" s="3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/>
      <c r="B2" s="7" t="s">
        <v>4</v>
      </c>
      <c r="C2" s="7">
        <v>2020.0</v>
      </c>
      <c r="D2" s="7">
        <v>2021.0</v>
      </c>
      <c r="E2" s="7">
        <v>2022.0</v>
      </c>
      <c r="F2" s="7">
        <v>2023.0</v>
      </c>
      <c r="G2" s="7" t="s">
        <v>8</v>
      </c>
      <c r="H2" s="3"/>
      <c r="I2" s="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/>
      <c r="B3" s="7"/>
      <c r="C3" s="7"/>
      <c r="D3" s="7"/>
      <c r="E3" s="7"/>
      <c r="F3" s="7"/>
      <c r="G3" s="7" t="s">
        <v>27</v>
      </c>
      <c r="H3" s="3"/>
      <c r="I3" s="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/>
      <c r="B4" s="24" t="s">
        <v>28</v>
      </c>
      <c r="C4" s="25">
        <v>34608.0</v>
      </c>
      <c r="D4" s="25">
        <v>43075.0</v>
      </c>
      <c r="E4" s="25">
        <v>43653.0</v>
      </c>
      <c r="F4" s="25">
        <v>40109.0</v>
      </c>
      <c r="G4" s="25">
        <v>40725.0</v>
      </c>
      <c r="H4" s="3"/>
      <c r="I4" s="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/>
      <c r="B5" s="32" t="s">
        <v>33</v>
      </c>
      <c r="C5" s="33"/>
      <c r="D5" s="38">
        <f t="shared" ref="D5:G5" si="1">((D4/C4)-1)</f>
        <v>0.2446544152</v>
      </c>
      <c r="E5" s="38">
        <f t="shared" si="1"/>
        <v>0.01341845618</v>
      </c>
      <c r="F5" s="38">
        <f t="shared" si="1"/>
        <v>-0.08118571461</v>
      </c>
      <c r="G5" s="38">
        <f t="shared" si="1"/>
        <v>0.01535814904</v>
      </c>
      <c r="H5" s="3"/>
      <c r="I5" s="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/>
      <c r="B6" s="3"/>
      <c r="C6" s="3"/>
      <c r="D6" s="3"/>
      <c r="E6" s="3"/>
      <c r="F6" s="3"/>
      <c r="G6" s="3"/>
      <c r="H6" s="3"/>
      <c r="I6" s="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/>
      <c r="B7" s="24" t="s">
        <v>52</v>
      </c>
      <c r="C7" s="25">
        <v>9621.0</v>
      </c>
      <c r="D7" s="25">
        <v>13149.0</v>
      </c>
      <c r="E7" s="25">
        <v>12895.0</v>
      </c>
      <c r="F7" s="25">
        <v>10519.0</v>
      </c>
      <c r="G7" s="25">
        <v>10470.0</v>
      </c>
      <c r="H7" s="3"/>
      <c r="I7" s="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/>
      <c r="B8" s="32" t="s">
        <v>37</v>
      </c>
      <c r="C8" s="38">
        <f t="shared" ref="C8:G8" si="2">C7/C4</f>
        <v>0.2779993065</v>
      </c>
      <c r="D8" s="38">
        <f t="shared" si="2"/>
        <v>0.3052582705</v>
      </c>
      <c r="E8" s="38">
        <f t="shared" si="2"/>
        <v>0.2953977963</v>
      </c>
      <c r="F8" s="38">
        <f t="shared" si="2"/>
        <v>0.2622603406</v>
      </c>
      <c r="G8" s="38">
        <f t="shared" si="2"/>
        <v>0.2570902394</v>
      </c>
      <c r="H8" s="3"/>
      <c r="I8" s="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/>
      <c r="B9" s="3"/>
      <c r="C9" s="3"/>
      <c r="D9" s="3"/>
      <c r="E9" s="3"/>
      <c r="F9" s="3"/>
      <c r="G9" s="3"/>
      <c r="H9" s="3"/>
      <c r="I9" s="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/>
      <c r="B10" s="24" t="s">
        <v>60</v>
      </c>
      <c r="C10" s="25">
        <v>3327.0</v>
      </c>
      <c r="D10" s="25">
        <v>3538.0</v>
      </c>
      <c r="E10" s="25">
        <v>3267.0</v>
      </c>
      <c r="F10" s="25">
        <v>3243.0</v>
      </c>
      <c r="G10" s="25">
        <v>3247.0</v>
      </c>
      <c r="H10" s="3"/>
      <c r="I10" s="3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/>
      <c r="B11" s="57"/>
      <c r="C11" s="38">
        <f t="shared" ref="C11:G11" si="3">C10/C4</f>
        <v>0.09613384189</v>
      </c>
      <c r="D11" s="38">
        <f t="shared" si="3"/>
        <v>0.08213580963</v>
      </c>
      <c r="E11" s="38">
        <f t="shared" si="3"/>
        <v>0.07484021717</v>
      </c>
      <c r="F11" s="38">
        <f t="shared" si="3"/>
        <v>0.08085467102</v>
      </c>
      <c r="G11" s="38">
        <f t="shared" si="3"/>
        <v>0.07972989564</v>
      </c>
      <c r="H11" s="3"/>
      <c r="I11" s="3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/>
      <c r="B12" s="24" t="s">
        <v>65</v>
      </c>
      <c r="C12" s="25">
        <f t="shared" ref="C12:G12" si="4">C7-C10</f>
        <v>6294</v>
      </c>
      <c r="D12" s="25">
        <f t="shared" si="4"/>
        <v>9611</v>
      </c>
      <c r="E12" s="25">
        <f t="shared" si="4"/>
        <v>9628</v>
      </c>
      <c r="F12" s="25">
        <f t="shared" si="4"/>
        <v>7276</v>
      </c>
      <c r="G12" s="25">
        <f t="shared" si="4"/>
        <v>7223</v>
      </c>
      <c r="H12" s="3"/>
      <c r="I12" s="23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/>
      <c r="B13" s="32" t="s">
        <v>45</v>
      </c>
      <c r="C13" s="38">
        <f t="shared" ref="C13:G13" si="5">C12/C4</f>
        <v>0.1818654646</v>
      </c>
      <c r="D13" s="38">
        <f t="shared" si="5"/>
        <v>0.2231224608</v>
      </c>
      <c r="E13" s="38">
        <f t="shared" si="5"/>
        <v>0.2205575791</v>
      </c>
      <c r="F13" s="38">
        <f t="shared" si="5"/>
        <v>0.1814056696</v>
      </c>
      <c r="G13" s="38">
        <f t="shared" si="5"/>
        <v>0.1773603438</v>
      </c>
      <c r="H13" s="3"/>
      <c r="I13" s="3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/>
      <c r="B14" s="3"/>
      <c r="C14" s="3"/>
      <c r="D14" s="3"/>
      <c r="E14" s="3"/>
      <c r="F14" s="3"/>
      <c r="G14" s="3"/>
      <c r="H14" s="3"/>
      <c r="I14" s="3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/>
      <c r="B15" s="24" t="s">
        <v>69</v>
      </c>
      <c r="C15" s="25">
        <v>497.0</v>
      </c>
      <c r="D15" s="25">
        <v>1140.0</v>
      </c>
      <c r="E15" s="25">
        <v>1373.0</v>
      </c>
      <c r="F15" s="25">
        <v>941.0</v>
      </c>
      <c r="G15" s="25">
        <v>952.0</v>
      </c>
      <c r="H15" s="3"/>
      <c r="I15" s="3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/>
      <c r="B16" s="32" t="s">
        <v>72</v>
      </c>
      <c r="C16" s="38">
        <f t="shared" ref="C16:G16" si="6">C15/C12</f>
        <v>0.07896409279</v>
      </c>
      <c r="D16" s="38">
        <f t="shared" si="6"/>
        <v>0.118614088</v>
      </c>
      <c r="E16" s="38">
        <f t="shared" si="6"/>
        <v>0.1426049024</v>
      </c>
      <c r="F16" s="38">
        <f t="shared" si="6"/>
        <v>0.1293293018</v>
      </c>
      <c r="G16" s="38">
        <f t="shared" si="6"/>
        <v>0.1318011906</v>
      </c>
      <c r="H16" s="3"/>
      <c r="I16" s="3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/>
      <c r="B17" s="3"/>
      <c r="C17" s="3"/>
      <c r="D17" s="3"/>
      <c r="E17" s="3"/>
      <c r="F17" s="3"/>
      <c r="G17" s="3"/>
      <c r="H17" s="3"/>
      <c r="I17" s="3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/>
      <c r="B18" s="24" t="s">
        <v>80</v>
      </c>
      <c r="C18" s="25">
        <f t="shared" ref="C18:G18" si="7">C12-C15</f>
        <v>5797</v>
      </c>
      <c r="D18" s="25">
        <f t="shared" si="7"/>
        <v>8471</v>
      </c>
      <c r="E18" s="25">
        <f t="shared" si="7"/>
        <v>8255</v>
      </c>
      <c r="F18" s="25">
        <f t="shared" si="7"/>
        <v>6335</v>
      </c>
      <c r="G18" s="25">
        <f t="shared" si="7"/>
        <v>6271</v>
      </c>
      <c r="H18" s="3"/>
      <c r="I18" s="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/>
      <c r="B19" s="3"/>
      <c r="C19" s="3"/>
      <c r="D19" s="3"/>
      <c r="E19" s="3"/>
      <c r="F19" s="3"/>
      <c r="G19" s="3"/>
      <c r="H19" s="3"/>
      <c r="I19" s="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/>
      <c r="B20" s="24" t="s">
        <v>83</v>
      </c>
      <c r="C20" s="25">
        <f t="shared" ref="C20:G20" si="8">C10</f>
        <v>3327</v>
      </c>
      <c r="D20" s="25">
        <f t="shared" si="8"/>
        <v>3538</v>
      </c>
      <c r="E20" s="25">
        <f t="shared" si="8"/>
        <v>3267</v>
      </c>
      <c r="F20" s="25">
        <f t="shared" si="8"/>
        <v>3243</v>
      </c>
      <c r="G20" s="84">
        <f t="shared" si="8"/>
        <v>3247</v>
      </c>
      <c r="H20" s="3"/>
      <c r="I20" s="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"/>
      <c r="B21" s="32" t="s">
        <v>85</v>
      </c>
      <c r="C21" s="38">
        <f t="shared" ref="C21:G21" si="9">C10/C4</f>
        <v>0.09613384189</v>
      </c>
      <c r="D21" s="38">
        <f t="shared" si="9"/>
        <v>0.08213580963</v>
      </c>
      <c r="E21" s="38">
        <f t="shared" si="9"/>
        <v>0.07484021717</v>
      </c>
      <c r="F21" s="38">
        <f t="shared" si="9"/>
        <v>0.08085467102</v>
      </c>
      <c r="G21" s="38">
        <f t="shared" si="9"/>
        <v>0.07972989564</v>
      </c>
      <c r="H21" s="3"/>
      <c r="I21" s="3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"/>
      <c r="B23" s="24" t="s">
        <v>88</v>
      </c>
      <c r="C23" s="84">
        <v>-2177.0</v>
      </c>
      <c r="D23" s="84">
        <v>-1885.0</v>
      </c>
      <c r="E23" s="84">
        <v>-1777.0</v>
      </c>
      <c r="F23" s="84">
        <v>-2202.0</v>
      </c>
      <c r="G23" s="84">
        <v>-2246.0</v>
      </c>
      <c r="H23" s="3"/>
      <c r="I23" s="3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"/>
      <c r="B24" s="32" t="s">
        <v>92</v>
      </c>
      <c r="C24" s="38">
        <f t="shared" ref="C24:G24" si="10">C23/C4</f>
        <v>-0.06290453074</v>
      </c>
      <c r="D24" s="38">
        <f t="shared" si="10"/>
        <v>-0.04376088218</v>
      </c>
      <c r="E24" s="38">
        <f t="shared" si="10"/>
        <v>-0.04070739697</v>
      </c>
      <c r="F24" s="38">
        <f t="shared" si="10"/>
        <v>-0.05490039642</v>
      </c>
      <c r="G24" s="38">
        <f t="shared" si="10"/>
        <v>-0.05515039902</v>
      </c>
      <c r="H24" s="3"/>
      <c r="I24" s="3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"/>
      <c r="B26" s="24" t="s">
        <v>95</v>
      </c>
      <c r="C26" s="84">
        <v>-892.0</v>
      </c>
      <c r="D26" s="84">
        <v>-771.0</v>
      </c>
      <c r="E26" s="84">
        <v>-1519.0</v>
      </c>
      <c r="F26" s="84">
        <v>-2475.0</v>
      </c>
      <c r="G26" s="84">
        <v>-1706.0</v>
      </c>
      <c r="H26" s="3"/>
      <c r="I26" s="3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"/>
      <c r="B27" s="32" t="s">
        <v>96</v>
      </c>
      <c r="C27" s="38">
        <f t="shared" ref="C27:G27" si="11">C26/C4</f>
        <v>-0.02577438742</v>
      </c>
      <c r="D27" s="38">
        <f t="shared" si="11"/>
        <v>-0.01789901335</v>
      </c>
      <c r="E27" s="38">
        <f t="shared" si="11"/>
        <v>-0.03479715025</v>
      </c>
      <c r="F27" s="38">
        <f t="shared" si="11"/>
        <v>-0.06170684884</v>
      </c>
      <c r="G27" s="38">
        <f t="shared" si="11"/>
        <v>-0.04189073051</v>
      </c>
      <c r="H27" s="3"/>
      <c r="I27" s="3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"/>
      <c r="B33" s="6"/>
      <c r="C33" s="6"/>
      <c r="D33" s="6"/>
      <c r="E33" s="6"/>
      <c r="F33" s="6"/>
      <c r="G33" s="6"/>
      <c r="H33" s="3"/>
      <c r="I33" s="3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51.71"/>
    <col customWidth="1" min="3" max="3" width="12.0"/>
    <col customWidth="1" min="4" max="4" width="15.0"/>
    <col customWidth="1" min="5" max="5" width="8.86"/>
    <col customWidth="1" min="6" max="7" width="10.14"/>
    <col customWidth="1" min="8" max="8" width="13.14"/>
    <col customWidth="1" min="9" max="10" width="10.14"/>
    <col customWidth="1" min="11" max="19" width="8.86"/>
  </cols>
  <sheetData>
    <row r="1">
      <c r="A1" s="3"/>
      <c r="B1" s="106" t="s">
        <v>101</v>
      </c>
      <c r="C1" s="3" t="s">
        <v>102</v>
      </c>
      <c r="D1" s="3"/>
      <c r="E1" s="3"/>
      <c r="F1" s="3"/>
      <c r="G1" s="3"/>
      <c r="H1" s="3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3"/>
      <c r="B2" s="106"/>
      <c r="C2" s="3"/>
      <c r="D2" s="3"/>
      <c r="E2" s="3"/>
      <c r="F2" s="3"/>
      <c r="G2" s="3"/>
      <c r="H2" s="110">
        <v>2028.0</v>
      </c>
      <c r="I2" s="3"/>
      <c r="J2" s="3"/>
      <c r="K2" s="6"/>
      <c r="L2" s="6"/>
      <c r="M2" s="6"/>
      <c r="N2" s="6"/>
      <c r="O2" s="6"/>
      <c r="P2" s="6"/>
      <c r="Q2" s="6"/>
      <c r="R2" s="6"/>
      <c r="S2" s="6"/>
    </row>
    <row r="3">
      <c r="A3" s="3"/>
      <c r="B3" s="111" t="s">
        <v>103</v>
      </c>
      <c r="C3" s="112">
        <v>2023.0</v>
      </c>
      <c r="D3" s="112" t="s">
        <v>104</v>
      </c>
      <c r="E3" s="112" t="s">
        <v>105</v>
      </c>
      <c r="F3" s="112" t="s">
        <v>106</v>
      </c>
      <c r="G3" s="112" t="s">
        <v>107</v>
      </c>
      <c r="H3" s="112" t="s">
        <v>108</v>
      </c>
      <c r="I3" s="3"/>
      <c r="J3" s="3"/>
      <c r="K3" s="6"/>
      <c r="L3" s="6"/>
      <c r="M3" s="6"/>
      <c r="N3" s="6"/>
      <c r="O3" s="6"/>
      <c r="P3" s="6"/>
      <c r="Q3" s="6"/>
      <c r="R3" s="6"/>
      <c r="S3" s="6"/>
    </row>
    <row r="4">
      <c r="A4" s="3"/>
      <c r="B4" s="24" t="s">
        <v>28</v>
      </c>
      <c r="C4" s="25">
        <f>'Historical Percentages ABT'!F4</f>
        <v>40109</v>
      </c>
      <c r="D4" s="25">
        <f t="shared" ref="D4:H4" si="1">(1+D5)*C4</f>
        <v>42114.45</v>
      </c>
      <c r="E4" s="25">
        <f t="shared" si="1"/>
        <v>45483.606</v>
      </c>
      <c r="F4" s="25">
        <f t="shared" si="1"/>
        <v>47757.7863</v>
      </c>
      <c r="G4" s="25">
        <f t="shared" si="1"/>
        <v>49190.51989</v>
      </c>
      <c r="H4" s="25">
        <f t="shared" si="1"/>
        <v>50174.33029</v>
      </c>
      <c r="I4" s="3"/>
      <c r="J4" s="3"/>
      <c r="K4" s="6"/>
      <c r="L4" s="6"/>
      <c r="M4" s="6"/>
      <c r="N4" s="6"/>
      <c r="O4" s="6"/>
      <c r="P4" s="6"/>
      <c r="Q4" s="6"/>
      <c r="R4" s="6"/>
      <c r="S4" s="6"/>
    </row>
    <row r="5">
      <c r="A5" s="3"/>
      <c r="B5" s="32" t="s">
        <v>33</v>
      </c>
      <c r="C5" s="38">
        <f>'Historical Percentages ABT'!F5</f>
        <v>-0.08118571461</v>
      </c>
      <c r="D5" s="38">
        <v>0.05</v>
      </c>
      <c r="E5" s="38">
        <v>0.08</v>
      </c>
      <c r="F5" s="38">
        <v>0.05</v>
      </c>
      <c r="G5" s="38">
        <v>0.03</v>
      </c>
      <c r="H5" s="38">
        <v>0.02</v>
      </c>
      <c r="I5" s="3"/>
      <c r="J5" s="113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6"/>
      <c r="L6" s="6"/>
      <c r="M6" s="6"/>
      <c r="N6" s="6"/>
      <c r="O6" s="6"/>
      <c r="P6" s="6"/>
      <c r="Q6" s="6"/>
      <c r="R6" s="6"/>
      <c r="S6" s="6"/>
    </row>
    <row r="7">
      <c r="A7" s="3"/>
      <c r="B7" s="24" t="s">
        <v>52</v>
      </c>
      <c r="C7" s="25">
        <f>'Historical Percentages ABT'!F7</f>
        <v>10519</v>
      </c>
      <c r="D7" s="25">
        <f t="shared" ref="D7:H7" si="2">D8*D4</f>
        <v>10949.757</v>
      </c>
      <c r="E7" s="25">
        <f t="shared" si="2"/>
        <v>12280.57362</v>
      </c>
      <c r="F7" s="25">
        <f t="shared" si="2"/>
        <v>12894.6023</v>
      </c>
      <c r="G7" s="25">
        <f t="shared" si="2"/>
        <v>13281.44037</v>
      </c>
      <c r="H7" s="25">
        <f t="shared" si="2"/>
        <v>13547.06918</v>
      </c>
      <c r="I7" s="3"/>
      <c r="J7" s="23"/>
      <c r="K7" s="6"/>
      <c r="L7" s="6"/>
      <c r="M7" s="6"/>
      <c r="N7" s="6"/>
      <c r="O7" s="6"/>
      <c r="P7" s="6"/>
      <c r="Q7" s="6"/>
      <c r="R7" s="6"/>
      <c r="S7" s="6"/>
    </row>
    <row r="8">
      <c r="A8" s="3"/>
      <c r="B8" s="32" t="s">
        <v>37</v>
      </c>
      <c r="C8" s="38">
        <f>C7/C4</f>
        <v>0.2622603406</v>
      </c>
      <c r="D8" s="38">
        <v>0.26</v>
      </c>
      <c r="E8" s="38">
        <v>0.27</v>
      </c>
      <c r="F8" s="38">
        <v>0.27</v>
      </c>
      <c r="G8" s="38">
        <v>0.27</v>
      </c>
      <c r="H8" s="38">
        <v>0.27</v>
      </c>
      <c r="I8" s="3"/>
      <c r="J8" s="3"/>
      <c r="K8" s="6"/>
      <c r="L8" s="6"/>
      <c r="M8" s="6"/>
      <c r="N8" s="6"/>
      <c r="O8" s="6"/>
      <c r="P8" s="6"/>
      <c r="Q8" s="6"/>
      <c r="R8" s="6"/>
      <c r="S8" s="6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6"/>
      <c r="L9" s="6"/>
      <c r="M9" s="6"/>
      <c r="N9" s="6"/>
      <c r="O9" s="6"/>
      <c r="P9" s="6"/>
      <c r="Q9" s="6"/>
      <c r="R9" s="6"/>
      <c r="S9" s="6"/>
    </row>
    <row r="10">
      <c r="A10" s="3"/>
      <c r="B10" s="24" t="s">
        <v>109</v>
      </c>
      <c r="C10" s="25">
        <f>'Historical Percentages ABT'!F10</f>
        <v>3243</v>
      </c>
      <c r="D10" s="25">
        <f t="shared" ref="D10:H10" si="3">D11*D4</f>
        <v>3495.49935</v>
      </c>
      <c r="E10" s="25">
        <f t="shared" si="3"/>
        <v>3775.139298</v>
      </c>
      <c r="F10" s="25">
        <f t="shared" si="3"/>
        <v>3963.896263</v>
      </c>
      <c r="G10" s="25">
        <f t="shared" si="3"/>
        <v>4082.813151</v>
      </c>
      <c r="H10" s="25">
        <f t="shared" si="3"/>
        <v>4164.469414</v>
      </c>
      <c r="I10" s="3"/>
      <c r="J10" s="3"/>
      <c r="K10" s="6"/>
      <c r="L10" s="6"/>
      <c r="M10" s="6"/>
      <c r="N10" s="6"/>
      <c r="O10" s="6"/>
      <c r="P10" s="6"/>
      <c r="Q10" s="6"/>
      <c r="R10" s="6"/>
      <c r="S10" s="6"/>
    </row>
    <row r="11">
      <c r="A11" s="3"/>
      <c r="B11" s="32" t="s">
        <v>85</v>
      </c>
      <c r="C11" s="38">
        <f>C10/C4</f>
        <v>0.08085467102</v>
      </c>
      <c r="D11" s="38">
        <v>0.083</v>
      </c>
      <c r="E11" s="38">
        <v>0.083</v>
      </c>
      <c r="F11" s="38">
        <v>0.083</v>
      </c>
      <c r="G11" s="38">
        <v>0.083</v>
      </c>
      <c r="H11" s="38">
        <v>0.083</v>
      </c>
      <c r="I11" s="3"/>
      <c r="J11" s="3"/>
      <c r="K11" s="6"/>
      <c r="L11" s="6"/>
      <c r="M11" s="6"/>
      <c r="N11" s="6"/>
      <c r="O11" s="6"/>
      <c r="P11" s="6"/>
      <c r="Q11" s="6"/>
      <c r="R11" s="6"/>
      <c r="S11" s="6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6"/>
      <c r="L12" s="6"/>
      <c r="M12" s="6"/>
      <c r="N12" s="6"/>
      <c r="O12" s="6"/>
      <c r="P12" s="6"/>
      <c r="Q12" s="6"/>
      <c r="R12" s="6"/>
      <c r="S12" s="6"/>
    </row>
    <row r="13">
      <c r="A13" s="3"/>
      <c r="B13" s="24" t="s">
        <v>65</v>
      </c>
      <c r="C13" s="25">
        <f t="shared" ref="C13:H13" si="4">C7-C10</f>
        <v>7276</v>
      </c>
      <c r="D13" s="25">
        <f t="shared" si="4"/>
        <v>7454.25765</v>
      </c>
      <c r="E13" s="25">
        <f t="shared" si="4"/>
        <v>8505.434322</v>
      </c>
      <c r="F13" s="25">
        <f t="shared" si="4"/>
        <v>8930.706038</v>
      </c>
      <c r="G13" s="25">
        <f t="shared" si="4"/>
        <v>9198.627219</v>
      </c>
      <c r="H13" s="25">
        <f t="shared" si="4"/>
        <v>9382.599764</v>
      </c>
      <c r="I13" s="3"/>
      <c r="J13" s="3"/>
      <c r="K13" s="6"/>
      <c r="L13" s="6"/>
      <c r="M13" s="6"/>
      <c r="N13" s="6"/>
      <c r="O13" s="6"/>
      <c r="P13" s="6"/>
      <c r="Q13" s="6"/>
      <c r="R13" s="6"/>
      <c r="S13" s="6"/>
    </row>
    <row r="14">
      <c r="A14" s="3"/>
      <c r="B14" s="32" t="s">
        <v>45</v>
      </c>
      <c r="C14" s="38">
        <f>C13/C4</f>
        <v>0.1814056696</v>
      </c>
      <c r="D14" s="38">
        <v>0.17</v>
      </c>
      <c r="E14" s="38">
        <v>0.18</v>
      </c>
      <c r="F14" s="38">
        <v>0.19</v>
      </c>
      <c r="G14" s="38">
        <v>0.2</v>
      </c>
      <c r="H14" s="38">
        <v>0.21</v>
      </c>
      <c r="I14" s="3"/>
      <c r="J14" s="3"/>
      <c r="K14" s="6"/>
      <c r="L14" s="6"/>
      <c r="M14" s="6"/>
      <c r="N14" s="6"/>
      <c r="O14" s="6"/>
      <c r="P14" s="6"/>
      <c r="Q14" s="6"/>
      <c r="R14" s="6"/>
      <c r="S14" s="6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6"/>
      <c r="L15" s="6"/>
      <c r="M15" s="6"/>
      <c r="N15" s="6"/>
      <c r="O15" s="6"/>
      <c r="P15" s="6"/>
      <c r="Q15" s="6"/>
      <c r="R15" s="6"/>
      <c r="S15" s="6"/>
    </row>
    <row r="16">
      <c r="A16" s="3"/>
      <c r="B16" s="24" t="s">
        <v>69</v>
      </c>
      <c r="C16" s="25">
        <f>'Historical Percentages ABT'!F15</f>
        <v>941</v>
      </c>
      <c r="D16" s="25">
        <f t="shared" ref="D16:H16" si="5">D17*D13</f>
        <v>1118.138648</v>
      </c>
      <c r="E16" s="25">
        <f t="shared" si="5"/>
        <v>1275.815148</v>
      </c>
      <c r="F16" s="25">
        <f t="shared" si="5"/>
        <v>1339.605906</v>
      </c>
      <c r="G16" s="25">
        <f t="shared" si="5"/>
        <v>1379.794083</v>
      </c>
      <c r="H16" s="25">
        <f t="shared" si="5"/>
        <v>1407.389965</v>
      </c>
      <c r="I16" s="3"/>
      <c r="J16" s="3"/>
      <c r="K16" s="6"/>
      <c r="L16" s="6"/>
      <c r="M16" s="6"/>
      <c r="N16" s="6"/>
      <c r="O16" s="6"/>
      <c r="P16" s="6"/>
      <c r="Q16" s="6"/>
      <c r="R16" s="6"/>
      <c r="S16" s="6"/>
    </row>
    <row r="17">
      <c r="A17" s="3"/>
      <c r="B17" s="32" t="s">
        <v>72</v>
      </c>
      <c r="C17" s="38">
        <f>C16/C13</f>
        <v>0.1293293018</v>
      </c>
      <c r="D17" s="38">
        <v>0.15</v>
      </c>
      <c r="E17" s="38">
        <v>0.15</v>
      </c>
      <c r="F17" s="38">
        <v>0.15</v>
      </c>
      <c r="G17" s="38">
        <v>0.15</v>
      </c>
      <c r="H17" s="38">
        <v>0.15</v>
      </c>
      <c r="I17" s="3"/>
      <c r="J17" s="3"/>
      <c r="K17" s="6"/>
      <c r="L17" s="6"/>
      <c r="M17" s="6"/>
      <c r="N17" s="6"/>
      <c r="O17" s="6"/>
      <c r="P17" s="6"/>
      <c r="Q17" s="6"/>
      <c r="R17" s="6"/>
      <c r="S17" s="6"/>
    </row>
    <row r="18">
      <c r="A18" s="3"/>
      <c r="B18" s="122"/>
      <c r="C18" s="23"/>
      <c r="D18" s="23"/>
      <c r="E18" s="23"/>
      <c r="F18" s="23"/>
      <c r="G18" s="23"/>
      <c r="H18" s="23"/>
      <c r="I18" s="3"/>
      <c r="J18" s="3"/>
      <c r="K18" s="6"/>
      <c r="L18" s="6"/>
      <c r="M18" s="6"/>
      <c r="N18" s="6"/>
      <c r="O18" s="6"/>
      <c r="P18" s="6"/>
      <c r="Q18" s="6"/>
      <c r="R18" s="6"/>
      <c r="S18" s="6"/>
    </row>
    <row r="19">
      <c r="A19" s="3"/>
      <c r="B19" s="111" t="s">
        <v>110</v>
      </c>
      <c r="C19" s="112">
        <v>2023.0</v>
      </c>
      <c r="D19" s="112" t="s">
        <v>104</v>
      </c>
      <c r="E19" s="112" t="s">
        <v>105</v>
      </c>
      <c r="F19" s="112" t="s">
        <v>106</v>
      </c>
      <c r="G19" s="112" t="s">
        <v>107</v>
      </c>
      <c r="H19" s="112" t="s">
        <v>108</v>
      </c>
      <c r="I19" s="3"/>
      <c r="J19" s="3"/>
      <c r="K19" s="6"/>
      <c r="L19" s="6"/>
      <c r="M19" s="6"/>
      <c r="N19" s="6"/>
      <c r="O19" s="6"/>
      <c r="P19" s="6"/>
      <c r="Q19" s="6"/>
      <c r="R19" s="6"/>
      <c r="S19" s="6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6"/>
      <c r="L20" s="6"/>
      <c r="M20" s="6"/>
      <c r="N20" s="6"/>
      <c r="O20" s="6"/>
      <c r="P20" s="6"/>
      <c r="Q20" s="6"/>
      <c r="R20" s="6"/>
      <c r="S20" s="6"/>
    </row>
    <row r="21" ht="15.75" customHeight="1">
      <c r="A21" s="3"/>
      <c r="B21" s="24" t="s">
        <v>80</v>
      </c>
      <c r="C21" s="25">
        <f t="shared" ref="C21:H21" si="6">C13-C16</f>
        <v>6335</v>
      </c>
      <c r="D21" s="25">
        <f t="shared" si="6"/>
        <v>6336.119003</v>
      </c>
      <c r="E21" s="25">
        <f t="shared" si="6"/>
        <v>7229.619174</v>
      </c>
      <c r="F21" s="25">
        <f t="shared" si="6"/>
        <v>7591.100132</v>
      </c>
      <c r="G21" s="25">
        <f t="shared" si="6"/>
        <v>7818.833136</v>
      </c>
      <c r="H21" s="25">
        <f t="shared" si="6"/>
        <v>7975.209799</v>
      </c>
      <c r="I21" s="3"/>
      <c r="J21" s="3"/>
      <c r="K21" s="6"/>
      <c r="L21" s="6"/>
      <c r="M21" s="6"/>
      <c r="N21" s="6"/>
      <c r="O21" s="6"/>
      <c r="P21" s="6"/>
      <c r="Q21" s="6"/>
      <c r="R21" s="6"/>
      <c r="S21" s="6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6"/>
      <c r="L22" s="6"/>
      <c r="M22" s="6"/>
      <c r="N22" s="6"/>
      <c r="O22" s="6"/>
      <c r="P22" s="6"/>
      <c r="Q22" s="6"/>
      <c r="R22" s="6"/>
      <c r="S22" s="6"/>
    </row>
    <row r="23" ht="15.75" customHeight="1">
      <c r="A23" s="3"/>
      <c r="B23" s="24" t="s">
        <v>111</v>
      </c>
      <c r="C23" s="25">
        <f t="shared" ref="C23:H23" si="7">C10</f>
        <v>3243</v>
      </c>
      <c r="D23" s="25">
        <f t="shared" si="7"/>
        <v>3495.49935</v>
      </c>
      <c r="E23" s="25">
        <f t="shared" si="7"/>
        <v>3775.139298</v>
      </c>
      <c r="F23" s="25">
        <f t="shared" si="7"/>
        <v>3963.896263</v>
      </c>
      <c r="G23" s="25">
        <f t="shared" si="7"/>
        <v>4082.813151</v>
      </c>
      <c r="H23" s="25">
        <f t="shared" si="7"/>
        <v>4164.469414</v>
      </c>
      <c r="I23" s="3"/>
      <c r="J23" s="3"/>
      <c r="K23" s="6"/>
      <c r="L23" s="6"/>
      <c r="M23" s="6"/>
      <c r="N23" s="6"/>
      <c r="O23" s="6"/>
      <c r="P23" s="6"/>
      <c r="Q23" s="6"/>
      <c r="R23" s="6"/>
      <c r="S23" s="6"/>
    </row>
    <row r="24" ht="15.75" customHeight="1">
      <c r="A24" s="3"/>
      <c r="B24" s="32" t="s">
        <v>85</v>
      </c>
      <c r="C24" s="38">
        <f t="shared" ref="C24:H24" si="8">C10/C4</f>
        <v>0.08085467102</v>
      </c>
      <c r="D24" s="38">
        <f t="shared" si="8"/>
        <v>0.083</v>
      </c>
      <c r="E24" s="38">
        <f t="shared" si="8"/>
        <v>0.083</v>
      </c>
      <c r="F24" s="38">
        <f t="shared" si="8"/>
        <v>0.083</v>
      </c>
      <c r="G24" s="38">
        <f t="shared" si="8"/>
        <v>0.083</v>
      </c>
      <c r="H24" s="38">
        <f t="shared" si="8"/>
        <v>0.083</v>
      </c>
      <c r="I24" s="3"/>
      <c r="J24" s="3"/>
      <c r="K24" s="6"/>
      <c r="L24" s="6"/>
      <c r="M24" s="6"/>
      <c r="N24" s="6"/>
      <c r="O24" s="6"/>
      <c r="P24" s="6"/>
      <c r="Q24" s="6"/>
      <c r="R24" s="6"/>
      <c r="S24" s="6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6"/>
      <c r="L25" s="6"/>
      <c r="M25" s="6"/>
      <c r="N25" s="6"/>
      <c r="O25" s="6"/>
      <c r="P25" s="6"/>
      <c r="Q25" s="6"/>
      <c r="R25" s="6"/>
      <c r="S25" s="6"/>
    </row>
    <row r="26" ht="15.75" customHeight="1">
      <c r="A26" s="3"/>
      <c r="B26" s="24" t="s">
        <v>112</v>
      </c>
      <c r="C26" s="25">
        <f>'Historical Percentages ABT'!F23</f>
        <v>-2202</v>
      </c>
      <c r="D26" s="25">
        <f t="shared" ref="D26:H26" si="9">D27*D4</f>
        <v>-2526.867</v>
      </c>
      <c r="E26" s="25">
        <f t="shared" si="9"/>
        <v>-2638.049148</v>
      </c>
      <c r="F26" s="25">
        <f t="shared" si="9"/>
        <v>-2722.193819</v>
      </c>
      <c r="G26" s="25">
        <f t="shared" si="9"/>
        <v>-2607.097554</v>
      </c>
      <c r="H26" s="25">
        <f t="shared" si="9"/>
        <v>-2006.973211</v>
      </c>
      <c r="I26" s="3"/>
      <c r="J26" s="3" t="s">
        <v>3</v>
      </c>
      <c r="K26" s="6"/>
      <c r="L26" s="6"/>
      <c r="M26" s="6"/>
      <c r="N26" s="6"/>
      <c r="O26" s="6"/>
      <c r="P26" s="6"/>
      <c r="Q26" s="6"/>
      <c r="R26" s="6"/>
      <c r="S26" s="6"/>
    </row>
    <row r="27" ht="15.75" customHeight="1">
      <c r="A27" s="3"/>
      <c r="B27" s="32" t="s">
        <v>92</v>
      </c>
      <c r="C27" s="38">
        <f>C26/C4</f>
        <v>-0.05490039642</v>
      </c>
      <c r="D27" s="38">
        <v>-0.06</v>
      </c>
      <c r="E27" s="38">
        <v>-0.058</v>
      </c>
      <c r="F27" s="38">
        <v>-0.057</v>
      </c>
      <c r="G27" s="38">
        <v>-0.053</v>
      </c>
      <c r="H27" s="38">
        <v>-0.04</v>
      </c>
      <c r="I27" s="3"/>
      <c r="J27" s="3"/>
      <c r="K27" s="6"/>
      <c r="L27" s="6"/>
      <c r="M27" s="6"/>
      <c r="N27" s="6"/>
      <c r="O27" s="6"/>
      <c r="P27" s="6"/>
      <c r="Q27" s="6"/>
      <c r="R27" s="6"/>
      <c r="S27" s="6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6"/>
      <c r="L28" s="6"/>
      <c r="M28" s="6"/>
      <c r="N28" s="6"/>
      <c r="O28" s="6"/>
      <c r="P28" s="6"/>
      <c r="Q28" s="6"/>
      <c r="R28" s="6"/>
      <c r="S28" s="6"/>
    </row>
    <row r="29" ht="15.75" customHeight="1">
      <c r="A29" s="3"/>
      <c r="B29" s="24" t="s">
        <v>113</v>
      </c>
      <c r="C29" s="25">
        <f>'Historical Percentages ABT'!F26</f>
        <v>-2475</v>
      </c>
      <c r="D29" s="25">
        <f t="shared" ref="D29:H29" si="10">D30*D4</f>
        <v>-1895.15025</v>
      </c>
      <c r="E29" s="25">
        <f t="shared" si="10"/>
        <v>-2046.76227</v>
      </c>
      <c r="F29" s="25">
        <f t="shared" si="10"/>
        <v>-477.577863</v>
      </c>
      <c r="G29" s="25">
        <f t="shared" si="10"/>
        <v>-491.9051989</v>
      </c>
      <c r="H29" s="25">
        <f t="shared" si="10"/>
        <v>-501.7433029</v>
      </c>
      <c r="I29" s="3"/>
      <c r="J29" s="3" t="s">
        <v>3</v>
      </c>
      <c r="K29" s="6"/>
      <c r="L29" s="6"/>
      <c r="M29" s="6"/>
      <c r="N29" s="6"/>
      <c r="O29" s="6"/>
      <c r="P29" s="6"/>
      <c r="Q29" s="6"/>
      <c r="R29" s="6"/>
      <c r="S29" s="6"/>
    </row>
    <row r="30" ht="15.75" customHeight="1">
      <c r="A30" s="3"/>
      <c r="B30" s="32" t="s">
        <v>96</v>
      </c>
      <c r="C30" s="38">
        <f>C29/C4</f>
        <v>-0.06170684884</v>
      </c>
      <c r="D30" s="38">
        <v>-0.045</v>
      </c>
      <c r="E30" s="38">
        <v>-0.045</v>
      </c>
      <c r="F30" s="38">
        <v>-0.01</v>
      </c>
      <c r="G30" s="38">
        <v>-0.01</v>
      </c>
      <c r="H30" s="38">
        <v>-0.01</v>
      </c>
      <c r="I30" s="3"/>
      <c r="J30" s="3"/>
      <c r="K30" s="6" t="s">
        <v>3</v>
      </c>
      <c r="L30" s="6"/>
      <c r="M30" s="6"/>
      <c r="N30" s="6"/>
      <c r="O30" s="6"/>
      <c r="P30" s="6"/>
      <c r="Q30" s="6"/>
      <c r="R30" s="6"/>
      <c r="S30" s="6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6"/>
      <c r="L31" s="6"/>
      <c r="M31" s="6"/>
      <c r="N31" s="6"/>
      <c r="O31" s="6"/>
      <c r="P31" s="6"/>
      <c r="Q31" s="6"/>
      <c r="R31" s="6"/>
      <c r="S31" s="6"/>
    </row>
    <row r="32" ht="15.75" customHeight="1">
      <c r="A32" s="3"/>
      <c r="B32" s="24" t="s">
        <v>114</v>
      </c>
      <c r="C32" s="25"/>
      <c r="D32" s="25">
        <f t="shared" ref="D32:H32" si="11">D21+D23+D26+D29</f>
        <v>5409.601103</v>
      </c>
      <c r="E32" s="25">
        <f t="shared" si="11"/>
        <v>6319.947054</v>
      </c>
      <c r="F32" s="25">
        <f t="shared" si="11"/>
        <v>8355.224713</v>
      </c>
      <c r="G32" s="25">
        <f t="shared" si="11"/>
        <v>8802.643534</v>
      </c>
      <c r="H32" s="25">
        <f t="shared" si="11"/>
        <v>9630.962699</v>
      </c>
      <c r="I32" s="3"/>
      <c r="J32" s="3"/>
      <c r="K32" s="6"/>
      <c r="L32" s="6"/>
      <c r="M32" s="6"/>
      <c r="N32" s="6"/>
      <c r="O32" s="6"/>
      <c r="P32" s="6"/>
      <c r="Q32" s="6"/>
      <c r="R32" s="6"/>
      <c r="S32" s="6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6"/>
      <c r="M33" s="6"/>
      <c r="N33" s="6"/>
      <c r="O33" s="6"/>
      <c r="P33" s="6"/>
      <c r="Q33" s="6"/>
      <c r="R33" s="6"/>
      <c r="S33" s="6"/>
    </row>
    <row r="34" ht="15.75" customHeight="1">
      <c r="A34" s="3"/>
      <c r="B34" s="111" t="s">
        <v>115</v>
      </c>
      <c r="C34" s="112">
        <v>2023.0</v>
      </c>
      <c r="D34" s="112" t="s">
        <v>104</v>
      </c>
      <c r="E34" s="112" t="s">
        <v>105</v>
      </c>
      <c r="F34" s="112" t="s">
        <v>106</v>
      </c>
      <c r="G34" s="112" t="s">
        <v>107</v>
      </c>
      <c r="H34" s="112" t="s">
        <v>108</v>
      </c>
      <c r="I34" s="3"/>
      <c r="J34" s="3"/>
      <c r="K34" s="6"/>
      <c r="L34" s="6"/>
      <c r="M34" s="6"/>
      <c r="N34" s="6"/>
      <c r="O34" s="6"/>
      <c r="P34" s="6"/>
      <c r="Q34" s="6"/>
      <c r="R34" s="6"/>
      <c r="S34" s="6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6"/>
      <c r="L35" s="6"/>
      <c r="M35" s="6"/>
      <c r="N35" s="6"/>
      <c r="O35" s="6"/>
      <c r="P35" s="6"/>
      <c r="Q35" s="6"/>
      <c r="R35" s="6"/>
      <c r="S35" s="6"/>
    </row>
    <row r="36" ht="15.75" customHeight="1">
      <c r="A36" s="3"/>
      <c r="B36" s="3" t="s">
        <v>117</v>
      </c>
      <c r="C36" s="3"/>
      <c r="D36" s="3">
        <v>0.5</v>
      </c>
      <c r="E36" s="3">
        <v>1.5</v>
      </c>
      <c r="F36" s="3">
        <v>2.5</v>
      </c>
      <c r="G36" s="3">
        <v>3.5</v>
      </c>
      <c r="H36" s="3">
        <v>4.5</v>
      </c>
      <c r="I36" s="3"/>
      <c r="J36" s="3"/>
      <c r="K36" s="6"/>
      <c r="L36" s="6"/>
      <c r="M36" s="6"/>
      <c r="N36" s="6"/>
      <c r="O36" s="6"/>
      <c r="P36" s="6"/>
      <c r="Q36" s="6"/>
      <c r="R36" s="6"/>
      <c r="S36" s="6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6"/>
      <c r="L37" s="6"/>
      <c r="M37" s="6"/>
      <c r="N37" s="6"/>
      <c r="O37" s="6"/>
      <c r="P37" s="6"/>
      <c r="Q37" s="6"/>
      <c r="R37" s="6"/>
      <c r="S37" s="6"/>
    </row>
    <row r="38" ht="15.75" customHeight="1">
      <c r="A38" s="3"/>
      <c r="B38" s="3" t="s">
        <v>118</v>
      </c>
      <c r="C38" s="3"/>
      <c r="D38" s="113">
        <v>0.082</v>
      </c>
      <c r="E38" s="113">
        <f t="shared" ref="E38:H38" si="12">D38</f>
        <v>0.082</v>
      </c>
      <c r="F38" s="113">
        <f t="shared" si="12"/>
        <v>0.082</v>
      </c>
      <c r="G38" s="113">
        <f t="shared" si="12"/>
        <v>0.082</v>
      </c>
      <c r="H38" s="113">
        <f t="shared" si="12"/>
        <v>0.082</v>
      </c>
      <c r="I38" s="3"/>
      <c r="J38" s="3"/>
      <c r="K38" s="6"/>
      <c r="L38" s="6"/>
      <c r="M38" s="6"/>
      <c r="N38" s="6"/>
      <c r="O38" s="6"/>
      <c r="P38" s="6"/>
      <c r="Q38" s="6"/>
      <c r="R38" s="6"/>
      <c r="S38" s="6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6"/>
      <c r="L39" s="6"/>
      <c r="M39" s="6"/>
      <c r="N39" s="6"/>
      <c r="O39" s="6"/>
      <c r="P39" s="6"/>
      <c r="Q39" s="6"/>
      <c r="R39" s="6"/>
      <c r="S39" s="6"/>
    </row>
    <row r="40" ht="15.75" customHeight="1">
      <c r="A40" s="3"/>
      <c r="B40" s="3" t="s">
        <v>119</v>
      </c>
      <c r="C40" s="3"/>
      <c r="D40" s="129">
        <f t="shared" ref="D40:H40" si="13">(1/((1+D38)^D36))</f>
        <v>0.9613607116</v>
      </c>
      <c r="E40" s="129">
        <f t="shared" si="13"/>
        <v>0.8885034303</v>
      </c>
      <c r="F40" s="129">
        <f t="shared" si="13"/>
        <v>0.8211676805</v>
      </c>
      <c r="G40" s="129">
        <f t="shared" si="13"/>
        <v>0.7589350097</v>
      </c>
      <c r="H40" s="129">
        <f t="shared" si="13"/>
        <v>0.7014186781</v>
      </c>
      <c r="I40" s="3"/>
      <c r="J40" s="3"/>
      <c r="K40" s="6"/>
      <c r="L40" s="6"/>
      <c r="M40" s="6"/>
      <c r="N40" s="6"/>
      <c r="O40" s="6"/>
      <c r="P40" s="6"/>
      <c r="Q40" s="6"/>
      <c r="R40" s="6"/>
      <c r="S40" s="6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6"/>
      <c r="L41" s="6"/>
      <c r="M41" s="6"/>
      <c r="N41" s="6"/>
      <c r="O41" s="6"/>
      <c r="P41" s="6"/>
      <c r="Q41" s="6"/>
      <c r="R41" s="6"/>
      <c r="S41" s="6"/>
    </row>
    <row r="42" ht="15.75" customHeight="1">
      <c r="A42" s="3"/>
      <c r="B42" s="3" t="s">
        <v>120</v>
      </c>
      <c r="C42" s="3"/>
      <c r="D42" s="130">
        <f t="shared" ref="D42:H42" si="14">D40*D32</f>
        <v>5200.577965</v>
      </c>
      <c r="E42" s="130">
        <f t="shared" si="14"/>
        <v>5615.294636</v>
      </c>
      <c r="F42" s="130">
        <f t="shared" si="14"/>
        <v>6861.040498</v>
      </c>
      <c r="G42" s="130">
        <f t="shared" si="14"/>
        <v>6680.634356</v>
      </c>
      <c r="H42" s="130">
        <f t="shared" si="14"/>
        <v>6755.337125</v>
      </c>
      <c r="I42" s="3"/>
      <c r="J42" s="3"/>
      <c r="K42" s="6"/>
      <c r="L42" s="6"/>
      <c r="M42" s="6"/>
      <c r="N42" s="6"/>
      <c r="O42" s="6"/>
      <c r="P42" s="6"/>
      <c r="Q42" s="6"/>
      <c r="R42" s="6"/>
      <c r="S42" s="6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6"/>
      <c r="L43" s="6"/>
      <c r="M43" s="6"/>
      <c r="N43" s="6"/>
      <c r="O43" s="6"/>
      <c r="P43" s="6"/>
      <c r="Q43" s="6"/>
      <c r="R43" s="6"/>
      <c r="S43" s="6"/>
    </row>
    <row r="44" ht="15.75" customHeight="1">
      <c r="A44" s="3"/>
      <c r="B44" s="3" t="s">
        <v>3</v>
      </c>
      <c r="C44" s="3"/>
      <c r="D44" s="3"/>
      <c r="E44" s="131" t="s">
        <v>121</v>
      </c>
      <c r="F44" s="132"/>
      <c r="G44" s="132"/>
      <c r="H44" s="133"/>
      <c r="I44" s="3"/>
      <c r="J44" s="3"/>
      <c r="K44" s="6"/>
      <c r="L44" s="6"/>
      <c r="M44" s="6"/>
      <c r="N44" s="6"/>
      <c r="O44" s="6"/>
      <c r="P44" s="6"/>
      <c r="Q44" s="6"/>
      <c r="R44" s="6"/>
      <c r="S44" s="6"/>
    </row>
    <row r="45" ht="15.75" customHeight="1">
      <c r="A45" s="3"/>
      <c r="B45" s="3"/>
      <c r="C45" s="3"/>
      <c r="D45" s="3"/>
      <c r="E45" s="74"/>
      <c r="F45" s="3"/>
      <c r="G45" s="3"/>
      <c r="H45" s="83"/>
      <c r="I45" s="3"/>
      <c r="J45" s="3"/>
      <c r="K45" s="6"/>
      <c r="L45" s="6"/>
      <c r="M45" s="6"/>
      <c r="N45" s="6"/>
      <c r="O45" s="6"/>
      <c r="P45" s="6"/>
      <c r="Q45" s="6"/>
      <c r="R45" s="6"/>
      <c r="S45" s="6"/>
    </row>
    <row r="46" ht="15.75" customHeight="1">
      <c r="A46" s="3"/>
      <c r="B46" s="3"/>
      <c r="C46" s="3"/>
      <c r="D46" s="3"/>
      <c r="E46" s="74" t="s">
        <v>122</v>
      </c>
      <c r="F46" s="3"/>
      <c r="G46" s="3"/>
      <c r="H46" s="134">
        <f>H7</f>
        <v>13547.06918</v>
      </c>
      <c r="I46" s="3"/>
      <c r="J46" s="3"/>
      <c r="K46" s="6"/>
      <c r="L46" s="6"/>
      <c r="M46" s="6"/>
      <c r="N46" s="6"/>
      <c r="O46" s="6"/>
      <c r="P46" s="6"/>
      <c r="Q46" s="6"/>
      <c r="R46" s="6"/>
      <c r="S46" s="6"/>
    </row>
    <row r="47" ht="15.75" customHeight="1">
      <c r="A47" s="3"/>
      <c r="B47" s="3"/>
      <c r="C47" s="3"/>
      <c r="D47" s="3"/>
      <c r="E47" s="74"/>
      <c r="F47" s="3"/>
      <c r="G47" s="3"/>
      <c r="H47" s="83"/>
      <c r="I47" s="3"/>
      <c r="J47" s="3"/>
      <c r="K47" s="6"/>
      <c r="L47" s="6"/>
      <c r="M47" s="6"/>
      <c r="N47" s="6"/>
      <c r="O47" s="6"/>
      <c r="P47" s="6"/>
      <c r="Q47" s="6"/>
      <c r="R47" s="6"/>
      <c r="S47" s="6"/>
    </row>
    <row r="48" ht="15.75" customHeight="1">
      <c r="A48" s="3"/>
      <c r="B48" s="3"/>
      <c r="C48" s="3"/>
      <c r="D48" s="3"/>
      <c r="E48" s="74" t="s">
        <v>123</v>
      </c>
      <c r="F48" s="3"/>
      <c r="G48" s="3"/>
      <c r="H48" s="136">
        <v>11.8</v>
      </c>
      <c r="I48" s="3"/>
      <c r="J48" s="3"/>
      <c r="K48" s="6"/>
      <c r="L48" s="6"/>
      <c r="M48" s="6"/>
      <c r="N48" s="6"/>
      <c r="O48" s="6"/>
      <c r="P48" s="6"/>
      <c r="Q48" s="6"/>
      <c r="R48" s="6"/>
      <c r="S48" s="6"/>
    </row>
    <row r="49" ht="15.75" customHeight="1">
      <c r="A49" s="3"/>
      <c r="B49" s="3"/>
      <c r="C49" s="3"/>
      <c r="D49" s="3"/>
      <c r="E49" s="74"/>
      <c r="F49" s="3"/>
      <c r="G49" s="3"/>
      <c r="H49" s="83"/>
      <c r="I49" s="3"/>
      <c r="J49" s="3"/>
      <c r="K49" s="6"/>
      <c r="L49" s="6"/>
      <c r="M49" s="6"/>
      <c r="N49" s="6"/>
      <c r="O49" s="6"/>
      <c r="P49" s="6"/>
      <c r="Q49" s="6"/>
      <c r="R49" s="6"/>
      <c r="S49" s="6"/>
    </row>
    <row r="50" ht="15.75" customHeight="1">
      <c r="A50" s="3"/>
      <c r="B50" s="3"/>
      <c r="C50" s="3"/>
      <c r="D50" s="3"/>
      <c r="E50" s="74" t="s">
        <v>124</v>
      </c>
      <c r="F50" s="3"/>
      <c r="G50" s="3"/>
      <c r="H50" s="134">
        <f>H46*H48</f>
        <v>159855.4163</v>
      </c>
      <c r="I50" s="3"/>
      <c r="J50" s="3"/>
      <c r="K50" s="6"/>
      <c r="L50" s="6"/>
      <c r="M50" s="6"/>
      <c r="N50" s="6"/>
      <c r="O50" s="6"/>
      <c r="P50" s="6"/>
      <c r="Q50" s="6"/>
      <c r="R50" s="6"/>
      <c r="S50" s="6"/>
    </row>
    <row r="51" ht="15.75" customHeight="1">
      <c r="A51" s="3"/>
      <c r="B51" s="3"/>
      <c r="C51" s="3"/>
      <c r="D51" s="3"/>
      <c r="E51" s="74"/>
      <c r="F51" s="3"/>
      <c r="G51" s="3"/>
      <c r="H51" s="83"/>
      <c r="I51" s="3"/>
      <c r="J51" s="3"/>
      <c r="K51" s="6"/>
      <c r="L51" s="6"/>
      <c r="M51" s="6"/>
      <c r="N51" s="6"/>
      <c r="O51" s="6"/>
      <c r="P51" s="6"/>
      <c r="Q51" s="6"/>
      <c r="R51" s="6"/>
      <c r="S51" s="6"/>
    </row>
    <row r="52" ht="15.75" customHeight="1">
      <c r="A52" s="3"/>
      <c r="B52" s="3"/>
      <c r="C52" s="3"/>
      <c r="D52" s="3"/>
      <c r="E52" s="74" t="s">
        <v>125</v>
      </c>
      <c r="F52" s="3"/>
      <c r="G52" s="3"/>
      <c r="H52" s="137">
        <f>((1/((1+H38)^(H2-C3))))</f>
        <v>0.6743163595</v>
      </c>
      <c r="I52" s="3"/>
      <c r="J52" s="3"/>
      <c r="K52" s="6"/>
      <c r="L52" s="6"/>
      <c r="M52" s="6"/>
      <c r="N52" s="6"/>
      <c r="O52" s="6"/>
      <c r="P52" s="6"/>
      <c r="Q52" s="6"/>
      <c r="R52" s="6"/>
      <c r="S52" s="6"/>
    </row>
    <row r="53" ht="15.75" customHeight="1">
      <c r="A53" s="3"/>
      <c r="B53" s="3"/>
      <c r="C53" s="3"/>
      <c r="D53" s="3"/>
      <c r="E53" s="74"/>
      <c r="F53" s="3"/>
      <c r="G53" s="3"/>
      <c r="H53" s="137"/>
      <c r="I53" s="3"/>
      <c r="J53" s="3"/>
      <c r="K53" s="6"/>
      <c r="L53" s="6"/>
      <c r="M53" s="6"/>
      <c r="N53" s="6"/>
      <c r="O53" s="6"/>
      <c r="P53" s="6"/>
      <c r="Q53" s="6"/>
      <c r="R53" s="6"/>
      <c r="S53" s="6"/>
    </row>
    <row r="54" ht="15.75" customHeight="1">
      <c r="A54" s="3"/>
      <c r="B54" s="3"/>
      <c r="C54" s="3"/>
      <c r="D54" s="3"/>
      <c r="E54" s="74"/>
      <c r="F54" s="3"/>
      <c r="G54" s="3"/>
      <c r="H54" s="137"/>
      <c r="I54" s="3"/>
      <c r="J54" s="3"/>
      <c r="K54" s="6"/>
      <c r="L54" s="6"/>
      <c r="M54" s="6"/>
      <c r="N54" s="6"/>
      <c r="O54" s="6"/>
      <c r="P54" s="6"/>
      <c r="Q54" s="6"/>
      <c r="R54" s="6"/>
      <c r="S54" s="6"/>
    </row>
    <row r="55" ht="15.75" customHeight="1">
      <c r="A55" s="3"/>
      <c r="B55" s="3"/>
      <c r="C55" s="3"/>
      <c r="D55" s="3"/>
      <c r="E55" s="138" t="s">
        <v>126</v>
      </c>
      <c r="F55" s="139"/>
      <c r="G55" s="139"/>
      <c r="H55" s="140">
        <f>((H50*D38)-(H32*((1+D38)^0.5)))/(H50+(H32*((1+D38)^0.5)))</f>
        <v>0.01819054501</v>
      </c>
      <c r="I55" s="3"/>
      <c r="J55" s="3"/>
      <c r="K55" s="6"/>
      <c r="L55" s="6"/>
      <c r="M55" s="6"/>
      <c r="N55" s="6"/>
      <c r="O55" s="6"/>
      <c r="P55" s="6"/>
      <c r="Q55" s="6"/>
      <c r="R55" s="6"/>
      <c r="S55" s="6"/>
    </row>
    <row r="56" ht="15.75" customHeight="1">
      <c r="A56" s="3"/>
      <c r="B56" s="141"/>
      <c r="C56" s="3"/>
      <c r="D56" s="3"/>
      <c r="E56" s="3"/>
      <c r="F56" s="3"/>
      <c r="G56" s="3"/>
      <c r="H56" s="3"/>
      <c r="I56" s="3"/>
      <c r="J56" s="3"/>
      <c r="K56" s="6"/>
      <c r="L56" s="6"/>
      <c r="M56" s="6"/>
      <c r="N56" s="6"/>
      <c r="O56" s="6"/>
      <c r="P56" s="6"/>
      <c r="Q56" s="6"/>
      <c r="R56" s="6"/>
      <c r="S56" s="6"/>
    </row>
    <row r="57" ht="15.75" customHeight="1">
      <c r="A57" s="3"/>
      <c r="B57" s="131" t="s">
        <v>127</v>
      </c>
      <c r="C57" s="142"/>
      <c r="D57" s="3"/>
      <c r="E57" s="3"/>
      <c r="F57" s="3"/>
      <c r="G57" s="3"/>
      <c r="H57" s="3"/>
      <c r="I57" s="3"/>
      <c r="J57" s="3"/>
      <c r="K57" s="6"/>
      <c r="L57" s="6"/>
      <c r="M57" s="6"/>
      <c r="N57" s="6"/>
      <c r="O57" s="6"/>
      <c r="P57" s="6"/>
      <c r="Q57" s="6"/>
      <c r="R57" s="6"/>
      <c r="S57" s="6"/>
    </row>
    <row r="58" ht="15.75" customHeight="1">
      <c r="A58" s="3"/>
      <c r="B58" s="74"/>
      <c r="C58" s="83"/>
      <c r="D58" s="3"/>
      <c r="E58" s="3"/>
      <c r="F58" s="3"/>
      <c r="G58" s="3"/>
      <c r="H58" s="3"/>
      <c r="I58" s="3"/>
      <c r="J58" s="3"/>
      <c r="K58" s="6"/>
      <c r="L58" s="6"/>
      <c r="M58" s="6"/>
      <c r="N58" s="6"/>
      <c r="O58" s="6"/>
      <c r="P58" s="6"/>
      <c r="Q58" s="6"/>
      <c r="R58" s="6"/>
      <c r="S58" s="6"/>
    </row>
    <row r="59" ht="15.75" customHeight="1">
      <c r="A59" s="3"/>
      <c r="B59" s="74" t="s">
        <v>128</v>
      </c>
      <c r="C59" s="134">
        <f>SUM(D42:H42)</f>
        <v>31112.88458</v>
      </c>
      <c r="D59" s="3"/>
      <c r="E59" s="3"/>
      <c r="F59" s="3"/>
      <c r="G59" s="3"/>
      <c r="H59" s="3"/>
      <c r="I59" s="3"/>
      <c r="J59" s="3"/>
      <c r="K59" s="6"/>
      <c r="L59" s="6"/>
      <c r="M59" s="6"/>
      <c r="N59" s="6"/>
      <c r="O59" s="6"/>
      <c r="P59" s="6"/>
      <c r="Q59" s="6"/>
      <c r="R59" s="6"/>
      <c r="S59" s="6"/>
    </row>
    <row r="60" ht="15.75" customHeight="1">
      <c r="A60" s="3"/>
      <c r="B60" s="74"/>
      <c r="C60" s="134"/>
      <c r="D60" s="3"/>
      <c r="E60" s="3"/>
      <c r="F60" s="3"/>
      <c r="G60" s="3"/>
      <c r="H60" s="3"/>
      <c r="I60" s="3"/>
      <c r="J60" s="3"/>
      <c r="K60" s="6"/>
      <c r="L60" s="6"/>
      <c r="M60" s="6"/>
      <c r="N60" s="6"/>
      <c r="O60" s="6"/>
      <c r="P60" s="6"/>
      <c r="Q60" s="6"/>
      <c r="R60" s="6"/>
      <c r="S60" s="6"/>
    </row>
    <row r="61" ht="15.75" customHeight="1">
      <c r="A61" s="3"/>
      <c r="B61" s="74" t="s">
        <v>129</v>
      </c>
      <c r="C61" s="134">
        <f>(H50*H52)</f>
        <v>107793.1224</v>
      </c>
      <c r="D61" s="3"/>
      <c r="E61" s="3"/>
      <c r="F61" s="3"/>
      <c r="G61" s="3"/>
      <c r="H61" s="3"/>
      <c r="I61" s="3"/>
      <c r="J61" s="3"/>
      <c r="K61" s="6"/>
      <c r="L61" s="6"/>
      <c r="M61" s="6"/>
      <c r="N61" s="6"/>
      <c r="O61" s="6"/>
      <c r="P61" s="6"/>
      <c r="Q61" s="6"/>
      <c r="R61" s="6"/>
      <c r="S61" s="6"/>
    </row>
    <row r="62" ht="15.75" customHeight="1">
      <c r="A62" s="3"/>
      <c r="B62" s="143" t="s">
        <v>130</v>
      </c>
      <c r="C62" s="144">
        <f>C61/C64</f>
        <v>0.7760148372</v>
      </c>
      <c r="D62" s="3"/>
      <c r="E62" s="3"/>
      <c r="F62" s="3"/>
      <c r="G62" s="3"/>
      <c r="H62" s="3"/>
      <c r="I62" s="3"/>
      <c r="J62" s="3"/>
      <c r="K62" s="6"/>
      <c r="L62" s="6"/>
      <c r="M62" s="6"/>
      <c r="N62" s="6"/>
      <c r="O62" s="6"/>
      <c r="P62" s="6"/>
      <c r="Q62" s="3"/>
      <c r="R62" s="6"/>
      <c r="S62" s="6"/>
    </row>
    <row r="63" ht="15.75" customHeight="1">
      <c r="A63" s="3"/>
      <c r="B63" s="74"/>
      <c r="C63" s="83"/>
      <c r="D63" s="3"/>
      <c r="E63" s="3"/>
      <c r="F63" s="3"/>
      <c r="G63" s="3"/>
      <c r="H63" s="3"/>
      <c r="I63" s="3"/>
      <c r="J63" s="3"/>
      <c r="K63" s="6"/>
      <c r="L63" s="6"/>
      <c r="M63" s="6"/>
      <c r="N63" s="6"/>
      <c r="O63" s="3"/>
      <c r="P63" s="3"/>
      <c r="Q63" s="3"/>
      <c r="R63" s="6"/>
      <c r="S63" s="6"/>
    </row>
    <row r="64" ht="15.75" customHeight="1">
      <c r="A64" s="3"/>
      <c r="B64" s="145" t="s">
        <v>131</v>
      </c>
      <c r="C64" s="146">
        <f>C59+C61</f>
        <v>138906.0069</v>
      </c>
      <c r="D64" s="3"/>
      <c r="E64" s="3"/>
      <c r="F64" s="3"/>
      <c r="G64" s="3"/>
      <c r="H64" s="3"/>
      <c r="I64" s="3"/>
      <c r="J64" s="3"/>
      <c r="K64" s="6"/>
      <c r="L64" s="6"/>
      <c r="M64" s="6"/>
      <c r="N64" s="6"/>
      <c r="O64" s="3"/>
      <c r="P64" s="3"/>
      <c r="Q64" s="3"/>
      <c r="R64" s="6"/>
      <c r="S64" s="6"/>
    </row>
    <row r="65" ht="15.75" customHeight="1">
      <c r="A65" s="3"/>
      <c r="B65" s="3"/>
      <c r="C65" s="147"/>
      <c r="D65" s="3"/>
      <c r="E65" s="3"/>
      <c r="F65" s="3"/>
      <c r="G65" s="3"/>
      <c r="H65" s="3"/>
      <c r="I65" s="3"/>
      <c r="J65" s="3"/>
      <c r="K65" s="6"/>
      <c r="L65" s="6"/>
      <c r="M65" s="6"/>
      <c r="N65" s="6"/>
      <c r="O65" s="3"/>
      <c r="P65" s="3"/>
      <c r="Q65" s="3"/>
      <c r="R65" s="6"/>
      <c r="S65" s="6"/>
    </row>
    <row r="66" ht="15.75" customHeight="1">
      <c r="A66" s="3"/>
      <c r="B66" s="131" t="s">
        <v>93</v>
      </c>
      <c r="C66" s="148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3"/>
      <c r="R66" s="6"/>
      <c r="S66" s="6"/>
    </row>
    <row r="67" ht="15.0" customHeight="1">
      <c r="A67" s="3"/>
      <c r="B67" s="74"/>
      <c r="C67" s="13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3"/>
      <c r="R67" s="6"/>
      <c r="S67" s="6"/>
    </row>
    <row r="68" ht="15.0" customHeight="1">
      <c r="A68" s="3"/>
      <c r="B68" s="74" t="s">
        <v>131</v>
      </c>
      <c r="C68" s="134">
        <f>C64</f>
        <v>138906.0069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3"/>
      <c r="R68" s="6"/>
      <c r="S68" s="6"/>
    </row>
    <row r="69" ht="15.75" customHeight="1">
      <c r="A69" s="3"/>
      <c r="B69" s="74"/>
      <c r="C69" s="13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3"/>
      <c r="R69" s="6"/>
      <c r="S69" s="6"/>
    </row>
    <row r="70" ht="15.75" customHeight="1">
      <c r="A70" s="3"/>
      <c r="B70" s="74" t="s">
        <v>132</v>
      </c>
      <c r="C70" s="149">
        <f>-1*14754</f>
        <v>-14754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3"/>
      <c r="R70" s="6"/>
      <c r="S70" s="6"/>
    </row>
    <row r="71" ht="15.75" customHeight="1">
      <c r="A71" s="3"/>
      <c r="B71" s="150"/>
      <c r="C71" s="13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3"/>
      <c r="R71" s="6"/>
      <c r="S71" s="6"/>
    </row>
    <row r="72" ht="15.75" customHeight="1">
      <c r="A72" s="3"/>
      <c r="B72" s="74" t="s">
        <v>133</v>
      </c>
      <c r="C72" s="149">
        <v>0.0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3"/>
      <c r="R72" s="6"/>
      <c r="S72" s="6"/>
    </row>
    <row r="73" ht="15.75" customHeight="1">
      <c r="A73" s="3"/>
      <c r="B73" s="74"/>
      <c r="C73" s="13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3"/>
      <c r="R73" s="6"/>
      <c r="S73" s="6"/>
    </row>
    <row r="74" ht="15.75" customHeight="1">
      <c r="A74" s="3"/>
      <c r="B74" s="74" t="s">
        <v>134</v>
      </c>
      <c r="C74" s="149">
        <v>242.0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3"/>
      <c r="R74" s="6"/>
      <c r="S74" s="6"/>
    </row>
    <row r="75" ht="15.75" customHeight="1">
      <c r="A75" s="3"/>
      <c r="B75" s="151"/>
      <c r="C75" s="134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3"/>
      <c r="R75" s="6"/>
      <c r="S75" s="6"/>
    </row>
    <row r="76" ht="15.75" customHeight="1">
      <c r="A76" s="3"/>
      <c r="B76" s="74" t="s">
        <v>135</v>
      </c>
      <c r="C76" s="149">
        <v>75547.0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3"/>
      <c r="R76" s="6"/>
      <c r="S76" s="6"/>
    </row>
    <row r="77" ht="15.75" customHeight="1">
      <c r="A77" s="3"/>
      <c r="B77" s="151"/>
      <c r="C77" s="8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3"/>
      <c r="R77" s="6"/>
      <c r="S77" s="6"/>
    </row>
    <row r="78" ht="15.75" customHeight="1">
      <c r="A78" s="3"/>
      <c r="B78" s="74" t="s">
        <v>136</v>
      </c>
      <c r="C78" s="152">
        <f>C68+C70+C72+C74+C76</f>
        <v>199941.0069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ht="15.75" customHeight="1">
      <c r="A79" s="3"/>
      <c r="B79" s="74"/>
      <c r="C79" s="83" t="s">
        <v>3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ht="15.75" customHeight="1">
      <c r="A80" s="3"/>
      <c r="B80" s="74" t="s">
        <v>137</v>
      </c>
      <c r="C80" s="153">
        <v>1739.9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ht="15.75" customHeight="1">
      <c r="A81" s="3"/>
      <c r="B81" s="74"/>
      <c r="C81" s="83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ht="15.75" customHeight="1">
      <c r="A82" s="3"/>
      <c r="B82" s="145" t="s">
        <v>138</v>
      </c>
      <c r="C82" s="154">
        <f>C78/C80</f>
        <v>114.915229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ht="15.75" customHeight="1">
      <c r="A84" s="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ht="15.75" customHeight="1">
      <c r="A85" s="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ht="15.75" customHeight="1">
      <c r="A86" s="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ht="15.75" customHeight="1">
      <c r="A87" s="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ht="15.75" customHeight="1">
      <c r="A88" s="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ht="15.75" customHeight="1">
      <c r="A89" s="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ht="15.75" customHeight="1">
      <c r="A90" s="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ht="15.75" customHeight="1">
      <c r="A91" s="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ht="15.75" customHeight="1">
      <c r="A92" s="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ht="15.75" customHeight="1">
      <c r="A93" s="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ht="15.75" customHeight="1">
      <c r="A94" s="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ht="15.75" customHeight="1">
      <c r="A95" s="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ht="15.75" customHeight="1">
      <c r="A96" s="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ht="15.75" customHeight="1">
      <c r="A97" s="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ht="15.75" customHeight="1">
      <c r="A98" s="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ht="15.75" customHeight="1">
      <c r="A99" s="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ht="15.75" customHeight="1">
      <c r="A100" s="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ht="15.75" customHeight="1">
      <c r="A101" s="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ht="15.75" customHeight="1">
      <c r="A102" s="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ht="15.75" customHeight="1">
      <c r="A103" s="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ht="15.75" customHeight="1">
      <c r="A104" s="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ht="15.75" customHeight="1">
      <c r="A105" s="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ht="15.75" customHeight="1">
      <c r="A106" s="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ht="15.75" customHeight="1">
      <c r="A107" s="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ht="15.75" customHeight="1">
      <c r="A108" s="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ht="15.75" customHeight="1">
      <c r="A109" s="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ht="15.75" customHeight="1">
      <c r="A110" s="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ht="15.75" customHeight="1">
      <c r="A111" s="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ht="15.75" customHeight="1">
      <c r="A112" s="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ht="15.75" customHeight="1">
      <c r="A113" s="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ht="15.75" customHeight="1">
      <c r="A114" s="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ht="15.75" customHeight="1">
      <c r="A115" s="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ht="15.75" customHeight="1">
      <c r="A116" s="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ht="15.75" customHeight="1">
      <c r="A117" s="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ht="15.75" customHeight="1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ht="15.75" customHeight="1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ht="15.75" customHeight="1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ht="15.75" customHeight="1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ht="15.75" customHeight="1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ht="15.75" customHeight="1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ht="15.75" customHeight="1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ht="15.75" customHeight="1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ht="15.75" customHeight="1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ht="15.75" customHeight="1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ht="15.75" customHeight="1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ht="15.75" customHeight="1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ht="15.75" customHeight="1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ht="15.75" customHeight="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ht="15.75" customHeight="1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ht="15.75" customHeight="1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ht="15.75" customHeight="1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ht="15.75" customHeight="1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ht="15.75" customHeight="1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ht="15.75" customHeight="1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ht="15.75" customHeight="1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ht="15.75" customHeight="1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ht="15.75" customHeight="1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ht="15.75" customHeight="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ht="15.75" customHeight="1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ht="15.75" customHeight="1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ht="15.7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ht="15.75" customHeight="1">
      <c r="A145" s="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ht="15.75" customHeight="1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ht="15.75" customHeight="1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ht="15.75" customHeight="1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ht="15.75" customHeight="1">
      <c r="A149" s="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ht="15.75" customHeight="1">
      <c r="A150" s="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ht="15.75" customHeight="1">
      <c r="A151" s="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ht="15.75" customHeight="1">
      <c r="A152" s="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ht="15.75" customHeight="1">
      <c r="A153" s="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ht="15.75" customHeight="1">
      <c r="A154" s="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ht="15.75" customHeight="1">
      <c r="A155" s="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ht="15.75" customHeight="1">
      <c r="A156" s="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ht="15.75" customHeight="1">
      <c r="A157" s="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ht="15.75" customHeight="1">
      <c r="A158" s="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ht="15.75" customHeight="1">
      <c r="A159" s="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ht="15.75" customHeight="1">
      <c r="A160" s="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ht="15.75" customHeight="1">
      <c r="A161" s="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5.75" customHeight="1">
      <c r="A162" s="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5.75" customHeight="1">
      <c r="A163" s="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5.75" customHeight="1">
      <c r="A164" s="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5.75" customHeight="1">
      <c r="A165" s="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5.75" customHeight="1">
      <c r="A166" s="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5.75" customHeight="1">
      <c r="A167" s="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5.75" customHeight="1">
      <c r="A168" s="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5.75" customHeight="1">
      <c r="A169" s="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5.75" customHeight="1">
      <c r="A170" s="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5.75" customHeight="1">
      <c r="A171" s="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5.75" customHeight="1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5.75" customHeight="1">
      <c r="A173" s="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5.75" customHeight="1">
      <c r="A174" s="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5.75" customHeight="1">
      <c r="A175" s="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5.75" customHeight="1">
      <c r="A176" s="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5.75" customHeight="1">
      <c r="A177" s="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5.75" customHeight="1">
      <c r="A178" s="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5.75" customHeight="1">
      <c r="A179" s="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5.75" customHeight="1">
      <c r="A180" s="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5.75" customHeight="1">
      <c r="A181" s="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5.75" customHeight="1">
      <c r="A182" s="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5.75" customHeight="1">
      <c r="A183" s="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5.75" customHeight="1">
      <c r="A184" s="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5.75" customHeight="1">
      <c r="A185" s="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5.75" customHeight="1">
      <c r="A186" s="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5.75" customHeight="1">
      <c r="A187" s="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5.75" customHeight="1">
      <c r="A188" s="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5.75" customHeight="1">
      <c r="A189" s="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5.75" customHeight="1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5.75" customHeight="1">
      <c r="A191" s="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5.75" customHeight="1">
      <c r="A192" s="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5.75" customHeight="1">
      <c r="A193" s="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5.75" customHeight="1">
      <c r="A194" s="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5.75" customHeight="1">
      <c r="A195" s="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5.75" customHeight="1">
      <c r="A196" s="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5.75" customHeight="1">
      <c r="A197" s="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5.75" customHeight="1">
      <c r="A198" s="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5.75" customHeight="1">
      <c r="A199" s="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5.75" customHeight="1">
      <c r="A200" s="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5.75" customHeight="1">
      <c r="A201" s="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5.75" customHeight="1">
      <c r="A202" s="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5.75" customHeight="1">
      <c r="A203" s="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5.75" customHeight="1">
      <c r="A204" s="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5.75" customHeight="1">
      <c r="A205" s="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5.75" customHeight="1">
      <c r="A206" s="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5.75" customHeight="1">
      <c r="A207" s="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5.75" customHeight="1">
      <c r="A208" s="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5.75" customHeight="1">
      <c r="A209" s="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5.75" customHeight="1">
      <c r="A210" s="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5.75" customHeight="1">
      <c r="A211" s="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5.75" customHeight="1">
      <c r="A212" s="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5.75" customHeight="1">
      <c r="A213" s="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5.75" customHeight="1">
      <c r="A214" s="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5.75" customHeight="1">
      <c r="A215" s="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5.75" customHeight="1">
      <c r="A216" s="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5.75" customHeight="1">
      <c r="A217" s="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5.75" customHeight="1">
      <c r="A218" s="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5.75" customHeight="1">
      <c r="A219" s="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5.75" customHeight="1">
      <c r="A220" s="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5.75" customHeight="1">
      <c r="A221" s="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5.75" customHeight="1">
      <c r="A222" s="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5.75" customHeight="1">
      <c r="A223" s="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5.75" customHeight="1">
      <c r="A224" s="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5.75" customHeight="1">
      <c r="A225" s="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5.75" customHeight="1">
      <c r="A226" s="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5.75" customHeight="1">
      <c r="A227" s="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5.75" customHeight="1">
      <c r="A228" s="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5.75" customHeight="1">
      <c r="A229" s="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5.75" customHeight="1">
      <c r="A230" s="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5.75" customHeight="1">
      <c r="A231" s="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5.75" customHeight="1">
      <c r="A232" s="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5.75" customHeight="1">
      <c r="A233" s="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5.75" customHeight="1">
      <c r="A234" s="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5.75" customHeight="1">
      <c r="A235" s="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5.75" customHeight="1">
      <c r="A236" s="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5.75" customHeight="1">
      <c r="A237" s="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5.75" customHeight="1">
      <c r="A238" s="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5.75" customHeight="1">
      <c r="A239" s="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5.75" customHeight="1">
      <c r="A240" s="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5.75" customHeight="1">
      <c r="A241" s="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5.75" customHeight="1">
      <c r="A242" s="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5.75" customHeight="1">
      <c r="A243" s="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5.75" customHeight="1">
      <c r="A244" s="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5.75" customHeight="1">
      <c r="A245" s="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5.75" customHeight="1">
      <c r="A246" s="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5.75" customHeight="1">
      <c r="A247" s="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5.75" customHeight="1">
      <c r="A248" s="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5.75" customHeight="1">
      <c r="A249" s="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5.75" customHeight="1">
      <c r="A250" s="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5.75" customHeight="1">
      <c r="A251" s="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5.75" customHeight="1">
      <c r="A252" s="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5.75" customHeight="1">
      <c r="A253" s="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5.75" customHeight="1">
      <c r="A254" s="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5.75" customHeight="1">
      <c r="A255" s="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5.75" customHeight="1">
      <c r="A256" s="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5.75" customHeight="1">
      <c r="A257" s="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5.75" customHeight="1">
      <c r="A258" s="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5.75" customHeight="1">
      <c r="A259" s="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5.75" customHeight="1">
      <c r="A260" s="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5.75" customHeight="1">
      <c r="A261" s="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5.75" customHeight="1">
      <c r="A262" s="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5.75" customHeight="1">
      <c r="A263" s="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5.75" customHeight="1">
      <c r="A264" s="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5.75" customHeight="1">
      <c r="A265" s="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5.75" customHeight="1">
      <c r="A266" s="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5.75" customHeight="1">
      <c r="A267" s="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5.75" customHeight="1">
      <c r="A268" s="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5.75" customHeight="1">
      <c r="A269" s="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5.75" customHeight="1">
      <c r="A270" s="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5.75" customHeight="1">
      <c r="A271" s="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5.75" customHeight="1">
      <c r="A272" s="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5.75" customHeight="1">
      <c r="A273" s="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5.75" customHeight="1">
      <c r="A274" s="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5.75" customHeight="1">
      <c r="A275" s="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5.75" customHeight="1">
      <c r="A276" s="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5.75" customHeight="1">
      <c r="A277" s="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5.75" customHeight="1">
      <c r="A278" s="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5.75" customHeight="1">
      <c r="A279" s="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5.75" customHeight="1">
      <c r="A280" s="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5.75" customHeight="1">
      <c r="A281" s="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5.75" customHeight="1">
      <c r="A282" s="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5.75" customHeight="1">
      <c r="A283" s="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5.75" customHeight="1">
      <c r="A284" s="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5.75" customHeight="1">
      <c r="A285" s="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5.75" customHeight="1">
      <c r="A286" s="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5.75" customHeight="1">
      <c r="A287" s="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5.75" customHeight="1">
      <c r="A288" s="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5.75" customHeight="1">
      <c r="A289" s="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5.75" customHeight="1">
      <c r="A290" s="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5.75" customHeight="1">
      <c r="A291" s="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5.75" customHeight="1">
      <c r="A292" s="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5.75" customHeight="1">
      <c r="A293" s="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5.75" customHeight="1">
      <c r="A294" s="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5.75" customHeight="1">
      <c r="A295" s="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5.75" customHeight="1">
      <c r="A296" s="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5.75" customHeight="1">
      <c r="A297" s="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5.75" customHeight="1">
      <c r="A298" s="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5.75" customHeight="1">
      <c r="A299" s="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5.75" customHeight="1">
      <c r="A300" s="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5.75" customHeight="1">
      <c r="A301" s="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5.75" customHeight="1">
      <c r="A302" s="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5.75" customHeight="1">
      <c r="A303" s="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5.75" customHeight="1">
      <c r="A304" s="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5.75" customHeight="1">
      <c r="A305" s="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5.75" customHeight="1">
      <c r="A306" s="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5.75" customHeight="1">
      <c r="A307" s="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5.75" customHeight="1">
      <c r="A308" s="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5.75" customHeight="1">
      <c r="A309" s="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5.75" customHeight="1">
      <c r="A310" s="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5.75" customHeight="1">
      <c r="A311" s="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5.75" customHeight="1">
      <c r="A312" s="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5.75" customHeight="1">
      <c r="A313" s="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5.75" customHeight="1">
      <c r="A314" s="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5.75" customHeight="1">
      <c r="A315" s="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5.75" customHeight="1">
      <c r="A316" s="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5.75" customHeight="1">
      <c r="A317" s="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5.75" customHeight="1">
      <c r="A318" s="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5.75" customHeight="1">
      <c r="A319" s="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5.75" customHeight="1">
      <c r="A320" s="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5.75" customHeight="1">
      <c r="A321" s="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5.75" customHeight="1">
      <c r="A322" s="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5.75" customHeight="1">
      <c r="A323" s="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5.75" customHeight="1">
      <c r="A324" s="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5.75" customHeight="1">
      <c r="A325" s="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5.75" customHeight="1">
      <c r="A326" s="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5.75" customHeight="1">
      <c r="A327" s="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5.75" customHeight="1">
      <c r="A328" s="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5.75" customHeight="1">
      <c r="A329" s="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5.75" customHeight="1">
      <c r="A330" s="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5.75" customHeight="1">
      <c r="A331" s="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5.75" customHeight="1">
      <c r="A332" s="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5.75" customHeight="1">
      <c r="A333" s="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5.75" customHeight="1">
      <c r="A334" s="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5.75" customHeight="1">
      <c r="A335" s="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5.75" customHeight="1">
      <c r="A336" s="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5.75" customHeight="1">
      <c r="A337" s="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5.75" customHeight="1">
      <c r="A338" s="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5.75" customHeight="1">
      <c r="A339" s="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5.75" customHeight="1">
      <c r="A340" s="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5.75" customHeight="1">
      <c r="A341" s="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5.75" customHeight="1">
      <c r="A342" s="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5.75" customHeight="1">
      <c r="A343" s="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5.75" customHeight="1">
      <c r="A344" s="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5.75" customHeight="1">
      <c r="A345" s="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5.75" customHeight="1">
      <c r="A346" s="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5.75" customHeight="1">
      <c r="A347" s="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5.75" customHeight="1">
      <c r="A348" s="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5.75" customHeight="1">
      <c r="A349" s="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5.75" customHeight="1">
      <c r="A350" s="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5.75" customHeight="1">
      <c r="A351" s="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5.75" customHeight="1">
      <c r="A352" s="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5.75" customHeight="1">
      <c r="A353" s="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5.75" customHeight="1">
      <c r="A354" s="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5.75" customHeight="1">
      <c r="A355" s="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5.75" customHeight="1">
      <c r="A356" s="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5.75" customHeight="1">
      <c r="A357" s="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5.75" customHeight="1">
      <c r="A358" s="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5.75" customHeight="1">
      <c r="A359" s="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5.75" customHeight="1">
      <c r="A360" s="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ht="15.75" customHeight="1">
      <c r="A361" s="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ht="15.75" customHeight="1">
      <c r="A362" s="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ht="15.75" customHeight="1">
      <c r="A363" s="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ht="15.75" customHeight="1">
      <c r="A364" s="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ht="15.75" customHeight="1">
      <c r="A365" s="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ht="15.75" customHeight="1">
      <c r="A366" s="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ht="15.75" customHeight="1">
      <c r="A367" s="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ht="15.75" customHeight="1">
      <c r="A368" s="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ht="15.75" customHeight="1">
      <c r="A369" s="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ht="15.75" customHeight="1">
      <c r="A370" s="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ht="15.75" customHeight="1">
      <c r="A371" s="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ht="15.75" customHeight="1">
      <c r="A372" s="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ht="15.75" customHeight="1">
      <c r="A373" s="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ht="15.75" customHeight="1">
      <c r="A374" s="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ht="15.75" customHeight="1">
      <c r="A375" s="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ht="15.75" customHeight="1">
      <c r="A376" s="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ht="15.75" customHeight="1">
      <c r="A377" s="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ht="15.75" customHeight="1">
      <c r="A378" s="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ht="15.75" customHeight="1">
      <c r="A379" s="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ht="15.75" customHeight="1">
      <c r="A380" s="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ht="15.75" customHeight="1">
      <c r="A381" s="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ht="15.75" customHeight="1">
      <c r="A382" s="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ht="15.75" customHeight="1">
      <c r="A383" s="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ht="15.75" customHeight="1">
      <c r="A384" s="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ht="15.75" customHeight="1">
      <c r="A385" s="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ht="15.75" customHeight="1">
      <c r="A386" s="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ht="15.75" customHeight="1">
      <c r="A387" s="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ht="15.75" customHeight="1">
      <c r="A388" s="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ht="15.75" customHeight="1">
      <c r="A389" s="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ht="15.75" customHeight="1">
      <c r="A390" s="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ht="15.75" customHeight="1">
      <c r="A391" s="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ht="15.75" customHeight="1">
      <c r="A392" s="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ht="15.75" customHeight="1">
      <c r="A393" s="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ht="15.75" customHeight="1">
      <c r="A394" s="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ht="15.75" customHeight="1">
      <c r="A395" s="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ht="15.75" customHeight="1">
      <c r="A396" s="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ht="15.75" customHeight="1">
      <c r="A397" s="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ht="15.75" customHeight="1">
      <c r="A398" s="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ht="15.75" customHeight="1">
      <c r="A399" s="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ht="15.75" customHeight="1">
      <c r="A400" s="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ht="15.75" customHeight="1">
      <c r="A401" s="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ht="15.75" customHeight="1">
      <c r="A402" s="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ht="15.75" customHeight="1">
      <c r="A403" s="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ht="15.75" customHeight="1">
      <c r="A404" s="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ht="15.75" customHeight="1">
      <c r="A405" s="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ht="15.75" customHeight="1">
      <c r="A406" s="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ht="15.75" customHeight="1">
      <c r="A407" s="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ht="15.75" customHeight="1">
      <c r="A408" s="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ht="15.75" customHeight="1">
      <c r="A409" s="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ht="15.75" customHeight="1">
      <c r="A410" s="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ht="15.75" customHeight="1">
      <c r="A411" s="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ht="15.75" customHeight="1">
      <c r="A412" s="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ht="15.75" customHeight="1">
      <c r="A413" s="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ht="15.75" customHeight="1">
      <c r="A414" s="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ht="15.75" customHeight="1">
      <c r="A415" s="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ht="15.75" customHeight="1">
      <c r="A416" s="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ht="15.75" customHeight="1">
      <c r="A417" s="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ht="15.75" customHeight="1">
      <c r="A418" s="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ht="15.75" customHeight="1">
      <c r="A419" s="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ht="15.75" customHeight="1">
      <c r="A420" s="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ht="15.75" customHeight="1">
      <c r="A421" s="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ht="15.75" customHeight="1">
      <c r="A422" s="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ht="15.75" customHeight="1">
      <c r="A423" s="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ht="15.75" customHeight="1">
      <c r="A424" s="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ht="15.75" customHeight="1">
      <c r="A425" s="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ht="15.75" customHeight="1">
      <c r="A426" s="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ht="15.75" customHeight="1">
      <c r="A427" s="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ht="15.75" customHeight="1">
      <c r="A428" s="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ht="15.75" customHeight="1">
      <c r="A429" s="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ht="15.75" customHeight="1">
      <c r="A430" s="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ht="15.75" customHeight="1">
      <c r="A431" s="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ht="15.75" customHeight="1">
      <c r="A432" s="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ht="15.75" customHeight="1">
      <c r="A433" s="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ht="15.75" customHeight="1">
      <c r="A434" s="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ht="15.75" customHeight="1">
      <c r="A435" s="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ht="15.75" customHeight="1">
      <c r="A436" s="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ht="15.75" customHeight="1">
      <c r="A437" s="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ht="15.75" customHeight="1">
      <c r="A438" s="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ht="15.75" customHeight="1">
      <c r="A439" s="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ht="15.75" customHeight="1">
      <c r="A440" s="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ht="15.75" customHeight="1">
      <c r="A441" s="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ht="15.75" customHeight="1">
      <c r="A442" s="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ht="15.75" customHeight="1">
      <c r="A443" s="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ht="15.75" customHeight="1">
      <c r="A444" s="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ht="15.75" customHeight="1">
      <c r="A445" s="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ht="15.75" customHeight="1">
      <c r="A446" s="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ht="15.75" customHeight="1">
      <c r="A447" s="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ht="15.75" customHeight="1">
      <c r="A448" s="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ht="15.75" customHeight="1">
      <c r="A449" s="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ht="15.75" customHeight="1">
      <c r="A450" s="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ht="15.75" customHeight="1">
      <c r="A451" s="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ht="15.75" customHeight="1">
      <c r="A452" s="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ht="15.75" customHeight="1">
      <c r="A453" s="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ht="15.75" customHeight="1">
      <c r="A454" s="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ht="15.75" customHeight="1">
      <c r="A455" s="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ht="15.75" customHeight="1">
      <c r="A456" s="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ht="15.75" customHeight="1">
      <c r="A457" s="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ht="15.75" customHeight="1">
      <c r="A458" s="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ht="15.75" customHeight="1">
      <c r="A459" s="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ht="15.75" customHeight="1">
      <c r="A460" s="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ht="15.75" customHeight="1">
      <c r="A461" s="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ht="15.75" customHeight="1">
      <c r="A462" s="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ht="15.75" customHeight="1">
      <c r="A463" s="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ht="15.75" customHeight="1">
      <c r="A464" s="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ht="15.75" customHeight="1">
      <c r="A465" s="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ht="15.75" customHeight="1">
      <c r="A466" s="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ht="15.75" customHeight="1">
      <c r="A467" s="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ht="15.75" customHeight="1">
      <c r="A468" s="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ht="15.75" customHeight="1">
      <c r="A469" s="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ht="15.75" customHeight="1">
      <c r="A470" s="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ht="15.75" customHeight="1">
      <c r="A471" s="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ht="15.75" customHeight="1">
      <c r="A472" s="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ht="15.75" customHeight="1">
      <c r="A473" s="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ht="15.75" customHeight="1">
      <c r="A474" s="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ht="15.75" customHeight="1">
      <c r="A475" s="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ht="15.75" customHeight="1">
      <c r="A476" s="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ht="15.75" customHeight="1">
      <c r="A477" s="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ht="15.75" customHeight="1">
      <c r="A478" s="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ht="15.75" customHeight="1">
      <c r="A479" s="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ht="15.75" customHeight="1">
      <c r="A480" s="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ht="15.75" customHeight="1">
      <c r="A481" s="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ht="15.75" customHeight="1">
      <c r="A482" s="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ht="15.75" customHeight="1">
      <c r="A483" s="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ht="15.75" customHeight="1">
      <c r="A484" s="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ht="15.75" customHeight="1">
      <c r="A485" s="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ht="15.75" customHeight="1">
      <c r="A486" s="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ht="15.75" customHeight="1">
      <c r="A487" s="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ht="15.75" customHeight="1">
      <c r="A488" s="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ht="15.75" customHeight="1">
      <c r="A489" s="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ht="15.75" customHeight="1">
      <c r="A490" s="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ht="15.75" customHeight="1">
      <c r="A491" s="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ht="15.75" customHeight="1">
      <c r="A492" s="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ht="15.75" customHeight="1">
      <c r="A493" s="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ht="15.75" customHeight="1">
      <c r="A494" s="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ht="15.75" customHeight="1">
      <c r="A495" s="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ht="15.75" customHeight="1">
      <c r="A496" s="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ht="15.75" customHeight="1">
      <c r="A497" s="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ht="15.75" customHeight="1">
      <c r="A498" s="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5.75" customHeight="1">
      <c r="A499" s="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5.75" customHeight="1">
      <c r="A500" s="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5.75" customHeight="1">
      <c r="A501" s="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5.75" customHeight="1">
      <c r="A502" s="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5.75" customHeight="1">
      <c r="A503" s="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5.75" customHeight="1">
      <c r="A504" s="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5.75" customHeight="1">
      <c r="A505" s="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5.75" customHeight="1">
      <c r="A506" s="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5.75" customHeight="1">
      <c r="A507" s="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5.75" customHeight="1">
      <c r="A508" s="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5.75" customHeight="1">
      <c r="A509" s="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5.75" customHeight="1">
      <c r="A510" s="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5.75" customHeight="1">
      <c r="A511" s="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5.75" customHeight="1">
      <c r="A512" s="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5.75" customHeight="1">
      <c r="A513" s="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5.75" customHeight="1">
      <c r="A514" s="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5.75" customHeight="1">
      <c r="A515" s="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5.75" customHeight="1">
      <c r="A516" s="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5.75" customHeight="1">
      <c r="A517" s="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5.75" customHeight="1">
      <c r="A518" s="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5.75" customHeight="1">
      <c r="A519" s="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5.75" customHeight="1">
      <c r="A520" s="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5.75" customHeight="1">
      <c r="A521" s="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5.75" customHeight="1">
      <c r="A522" s="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5.75" customHeight="1">
      <c r="A523" s="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5.75" customHeight="1">
      <c r="A524" s="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5.75" customHeight="1">
      <c r="A525" s="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5.75" customHeight="1">
      <c r="A526" s="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5.75" customHeight="1">
      <c r="A527" s="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5.75" customHeight="1">
      <c r="A528" s="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5.75" customHeight="1">
      <c r="A529" s="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5.75" customHeight="1">
      <c r="A530" s="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5.75" customHeight="1">
      <c r="A531" s="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5.75" customHeight="1">
      <c r="A532" s="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5.75" customHeight="1">
      <c r="A533" s="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5.75" customHeight="1">
      <c r="A534" s="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5.75" customHeight="1">
      <c r="A535" s="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5.75" customHeight="1">
      <c r="A536" s="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5.75" customHeight="1">
      <c r="A537" s="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5.75" customHeight="1">
      <c r="A538" s="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5.75" customHeight="1">
      <c r="A539" s="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5.75" customHeight="1">
      <c r="A540" s="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5.75" customHeight="1">
      <c r="A541" s="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5.75" customHeight="1">
      <c r="A542" s="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5.75" customHeight="1">
      <c r="A543" s="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5.75" customHeight="1">
      <c r="A544" s="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5.75" customHeight="1">
      <c r="A545" s="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5.75" customHeight="1">
      <c r="A546" s="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5.75" customHeight="1">
      <c r="A547" s="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5.75" customHeight="1">
      <c r="A548" s="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5.75" customHeight="1">
      <c r="A549" s="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5.75" customHeight="1">
      <c r="A550" s="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5.75" customHeight="1">
      <c r="A551" s="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5.75" customHeight="1">
      <c r="A552" s="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5.75" customHeight="1">
      <c r="A553" s="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5.75" customHeight="1">
      <c r="A554" s="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5.75" customHeight="1">
      <c r="A555" s="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5.75" customHeight="1">
      <c r="A556" s="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5.75" customHeight="1">
      <c r="A557" s="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5.75" customHeight="1">
      <c r="A558" s="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5.75" customHeight="1">
      <c r="A559" s="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5.75" customHeight="1">
      <c r="A560" s="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5.75" customHeight="1">
      <c r="A561" s="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5.75" customHeight="1">
      <c r="A562" s="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5.75" customHeight="1">
      <c r="A563" s="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5.75" customHeight="1">
      <c r="A564" s="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5.75" customHeight="1">
      <c r="A565" s="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5.75" customHeight="1">
      <c r="A566" s="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5.75" customHeight="1">
      <c r="A567" s="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5.75" customHeight="1">
      <c r="A568" s="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5.75" customHeight="1">
      <c r="A569" s="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5.75" customHeight="1">
      <c r="A570" s="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5.75" customHeight="1">
      <c r="A571" s="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5.75" customHeight="1">
      <c r="A572" s="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5.75" customHeight="1">
      <c r="A573" s="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5.75" customHeight="1">
      <c r="A574" s="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5.75" customHeight="1">
      <c r="A575" s="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5.75" customHeight="1">
      <c r="A576" s="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5.75" customHeight="1">
      <c r="A577" s="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5.75" customHeight="1">
      <c r="A578" s="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5.75" customHeight="1">
      <c r="A579" s="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5.75" customHeight="1">
      <c r="A580" s="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5.75" customHeight="1">
      <c r="A581" s="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5.75" customHeight="1">
      <c r="A582" s="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5.75" customHeight="1">
      <c r="A583" s="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5.75" customHeight="1">
      <c r="A584" s="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5.75" customHeight="1">
      <c r="A585" s="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5.75" customHeight="1">
      <c r="A586" s="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5.75" customHeight="1">
      <c r="A587" s="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5.75" customHeight="1">
      <c r="A588" s="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5.75" customHeight="1">
      <c r="A589" s="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5.75" customHeight="1">
      <c r="A590" s="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5.75" customHeight="1">
      <c r="A591" s="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5.75" customHeight="1">
      <c r="A592" s="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5.75" customHeight="1">
      <c r="A593" s="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5.75" customHeight="1">
      <c r="A594" s="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5.75" customHeight="1">
      <c r="A595" s="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5.75" customHeight="1">
      <c r="A596" s="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5.75" customHeight="1">
      <c r="A597" s="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5.75" customHeight="1">
      <c r="A598" s="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5.75" customHeight="1">
      <c r="A599" s="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5.75" customHeight="1">
      <c r="A600" s="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5.75" customHeight="1">
      <c r="A601" s="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5.75" customHeight="1">
      <c r="A602" s="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5.75" customHeight="1">
      <c r="A603" s="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5.75" customHeight="1">
      <c r="A604" s="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5.75" customHeight="1">
      <c r="A605" s="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5.75" customHeight="1">
      <c r="A606" s="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5.75" customHeight="1">
      <c r="A607" s="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5.75" customHeight="1">
      <c r="A608" s="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5.75" customHeight="1">
      <c r="A609" s="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5.75" customHeight="1">
      <c r="A610" s="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5.75" customHeight="1">
      <c r="A611" s="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5.75" customHeight="1">
      <c r="A612" s="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5.75" customHeight="1">
      <c r="A613" s="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5.75" customHeight="1">
      <c r="A614" s="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5.75" customHeight="1">
      <c r="A615" s="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5.75" customHeight="1">
      <c r="A616" s="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5.75" customHeight="1">
      <c r="A617" s="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5.75" customHeight="1">
      <c r="A618" s="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5.75" customHeight="1">
      <c r="A619" s="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5.75" customHeight="1">
      <c r="A620" s="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5.75" customHeight="1">
      <c r="A621" s="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5.75" customHeight="1">
      <c r="A622" s="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5.75" customHeight="1">
      <c r="A623" s="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5.75" customHeight="1">
      <c r="A624" s="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5.75" customHeight="1">
      <c r="A625" s="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5.75" customHeight="1">
      <c r="A626" s="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5.75" customHeight="1">
      <c r="A627" s="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5.75" customHeight="1">
      <c r="A628" s="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5.75" customHeight="1">
      <c r="A629" s="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5.75" customHeight="1">
      <c r="A630" s="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5.75" customHeight="1">
      <c r="A631" s="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5.75" customHeight="1">
      <c r="A632" s="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5.75" customHeight="1">
      <c r="A633" s="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5.75" customHeight="1">
      <c r="A634" s="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5.75" customHeight="1">
      <c r="A635" s="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5.75" customHeight="1">
      <c r="A636" s="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5.75" customHeight="1">
      <c r="A637" s="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5.75" customHeight="1">
      <c r="A638" s="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5.75" customHeight="1">
      <c r="A639" s="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5.75" customHeight="1">
      <c r="A640" s="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5.75" customHeight="1">
      <c r="A641" s="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5.75" customHeight="1">
      <c r="A642" s="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5.75" customHeight="1">
      <c r="A643" s="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5.75" customHeight="1">
      <c r="A644" s="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5.75" customHeight="1">
      <c r="A645" s="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5.75" customHeight="1">
      <c r="A646" s="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5.75" customHeight="1">
      <c r="A647" s="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5.75" customHeight="1">
      <c r="A648" s="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5.75" customHeight="1">
      <c r="A649" s="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5.75" customHeight="1">
      <c r="A650" s="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ht="15.75" customHeight="1">
      <c r="A998" s="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ht="15.75" customHeight="1">
      <c r="A999" s="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ht="15.75" customHeight="1">
      <c r="A1000" s="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3">
      <c r="B3" s="155" t="s">
        <v>139</v>
      </c>
      <c r="C3" s="156"/>
      <c r="D3" s="157"/>
    </row>
    <row r="4">
      <c r="B4" s="158" t="s">
        <v>140</v>
      </c>
      <c r="C4" s="159" t="s">
        <v>141</v>
      </c>
      <c r="D4" s="160" t="s">
        <v>142</v>
      </c>
    </row>
    <row r="5">
      <c r="B5" s="161" t="s">
        <v>143</v>
      </c>
      <c r="C5" s="162">
        <f>'direct + indirect valuation '!B29</f>
        <v>111.644</v>
      </c>
      <c r="D5" s="163">
        <v>0.25</v>
      </c>
    </row>
    <row r="6">
      <c r="B6" s="161" t="s">
        <v>144</v>
      </c>
      <c r="C6" s="162">
        <f>'direct + indirect valuation '!K45</f>
        <v>144.9548825</v>
      </c>
      <c r="D6" s="163">
        <v>0.25</v>
      </c>
    </row>
    <row r="7">
      <c r="B7" s="161" t="s">
        <v>145</v>
      </c>
      <c r="C7" s="162">
        <f>'DCF Valuation (2)'!C82</f>
        <v>114.915229</v>
      </c>
      <c r="D7" s="163">
        <v>0.5</v>
      </c>
    </row>
    <row r="8">
      <c r="B8" s="161"/>
      <c r="C8" s="162"/>
      <c r="D8" s="164"/>
    </row>
    <row r="9">
      <c r="B9" s="165" t="s">
        <v>146</v>
      </c>
      <c r="C9" s="166">
        <f>SUMPRODUCT(C5:C7,D5:D7)</f>
        <v>121.6073351</v>
      </c>
      <c r="D9" s="167">
        <f>SUM(D5:D7)</f>
        <v>1</v>
      </c>
    </row>
    <row r="11">
      <c r="C11" s="16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D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2020-08-24T15:34:38Z</dcterms:created>
  <dc:creator>Heuson, Andrea</dc:creator>
</cp:coreProperties>
</file>